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yaovsyanikova/Documents/GitHub/Coral-Model/"/>
    </mc:Choice>
  </mc:AlternateContent>
  <xr:revisionPtr revIDLastSave="0" documentId="13_ncr:1_{DF43F5E4-B103-F74E-8758-60C4AB127F52}" xr6:coauthVersionLast="47" xr6:coauthVersionMax="47" xr10:uidLastSave="{00000000-0000-0000-0000-000000000000}"/>
  <bookViews>
    <workbookView xWindow="29400" yWindow="500" windowWidth="29040" windowHeight="15720" xr2:uid="{90DF9A69-CFDF-4D32-83DF-CAF20B6BF8EA}"/>
  </bookViews>
  <sheets>
    <sheet name="Sheet1" sheetId="2" r:id="rId1"/>
    <sheet name="Summary of sites" sheetId="1" r:id="rId2"/>
    <sheet name="Sensitivity analysis" sheetId="11" r:id="rId3"/>
    <sheet name="Geoffrey Bay" sheetId="4" r:id="rId4"/>
    <sheet name="Bonaire" sheetId="16" r:id="rId5"/>
    <sheet name="Moorea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5" i="11" l="1"/>
  <c r="M65" i="11"/>
  <c r="N65" i="11"/>
  <c r="O65" i="11"/>
  <c r="L66" i="11"/>
  <c r="M66" i="11"/>
  <c r="N66" i="11"/>
  <c r="O66" i="11"/>
  <c r="L67" i="11"/>
  <c r="M67" i="11"/>
  <c r="N67" i="11"/>
  <c r="O67" i="11"/>
  <c r="L68" i="11"/>
  <c r="M68" i="11"/>
  <c r="N68" i="11"/>
  <c r="O68" i="11"/>
  <c r="L71" i="11"/>
  <c r="M71" i="11"/>
  <c r="N71" i="11"/>
  <c r="O71" i="11"/>
  <c r="L72" i="11"/>
  <c r="M72" i="11"/>
  <c r="N72" i="11"/>
  <c r="O72" i="11"/>
  <c r="L73" i="11"/>
  <c r="M73" i="11"/>
  <c r="N73" i="11"/>
  <c r="O73" i="11"/>
  <c r="L74" i="11"/>
  <c r="M74" i="11"/>
  <c r="N74" i="11"/>
  <c r="O74" i="11"/>
  <c r="L75" i="11"/>
  <c r="M75" i="11"/>
  <c r="N75" i="11"/>
  <c r="O75" i="11"/>
  <c r="Q65" i="11" l="1"/>
  <c r="R65" i="11"/>
  <c r="S65" i="11"/>
  <c r="T65" i="11"/>
  <c r="Q66" i="11"/>
  <c r="R66" i="11"/>
  <c r="S66" i="11"/>
  <c r="T66" i="11"/>
  <c r="Q67" i="11"/>
  <c r="R67" i="11"/>
  <c r="T67" i="11"/>
  <c r="Q68" i="11"/>
  <c r="R68" i="11"/>
  <c r="S68" i="11"/>
  <c r="T68" i="11"/>
  <c r="Q71" i="11"/>
  <c r="R71" i="11"/>
  <c r="T71" i="11"/>
  <c r="Q72" i="11"/>
  <c r="R72" i="11"/>
  <c r="T72" i="11"/>
  <c r="Q73" i="11"/>
  <c r="R73" i="11"/>
  <c r="S73" i="11"/>
  <c r="R74" i="11"/>
  <c r="S74" i="11"/>
  <c r="T74" i="11"/>
  <c r="Q75" i="11"/>
  <c r="T75" i="11"/>
  <c r="S67" i="11"/>
  <c r="S71" i="11"/>
  <c r="S72" i="11"/>
  <c r="T73" i="11"/>
  <c r="R75" i="11"/>
  <c r="S75" i="11"/>
  <c r="Q74" i="11"/>
  <c r="Q50" i="11" l="1"/>
  <c r="R50" i="11"/>
  <c r="S50" i="11"/>
  <c r="T50" i="11"/>
  <c r="Q51" i="11"/>
  <c r="R51" i="11"/>
  <c r="S51" i="11"/>
  <c r="T51" i="11"/>
  <c r="Q52" i="11"/>
  <c r="R52" i="11"/>
  <c r="S52" i="11"/>
  <c r="T52" i="11"/>
  <c r="Q53" i="11"/>
  <c r="R53" i="11"/>
  <c r="S53" i="11"/>
  <c r="T53" i="11"/>
  <c r="Q56" i="11"/>
  <c r="R56" i="11"/>
  <c r="S56" i="11"/>
  <c r="T56" i="11"/>
  <c r="Q57" i="11"/>
  <c r="R57" i="11"/>
  <c r="S57" i="11"/>
  <c r="T57" i="11"/>
  <c r="Q58" i="11"/>
  <c r="R58" i="11"/>
  <c r="S58" i="11"/>
  <c r="T58" i="11"/>
  <c r="Q59" i="11"/>
  <c r="R59" i="11"/>
  <c r="S59" i="11"/>
  <c r="T59" i="11"/>
  <c r="Q60" i="11"/>
  <c r="R60" i="11"/>
  <c r="S60" i="11"/>
  <c r="T60" i="11"/>
  <c r="L50" i="11"/>
  <c r="M50" i="11"/>
  <c r="N50" i="11"/>
  <c r="O50" i="11"/>
  <c r="L51" i="11"/>
  <c r="M51" i="11"/>
  <c r="N51" i="11"/>
  <c r="O51" i="11"/>
  <c r="L52" i="11"/>
  <c r="M52" i="11"/>
  <c r="N52" i="11"/>
  <c r="O52" i="11"/>
  <c r="L53" i="11"/>
  <c r="M53" i="11"/>
  <c r="N53" i="11"/>
  <c r="O53" i="11"/>
  <c r="L56" i="11"/>
  <c r="M56" i="11"/>
  <c r="N56" i="11"/>
  <c r="O56" i="11"/>
  <c r="L57" i="11"/>
  <c r="M57" i="11"/>
  <c r="N57" i="11"/>
  <c r="O57" i="11"/>
  <c r="L58" i="11"/>
  <c r="M58" i="11"/>
  <c r="N58" i="11"/>
  <c r="O58" i="11"/>
  <c r="L59" i="11"/>
  <c r="M59" i="11"/>
  <c r="N59" i="11"/>
  <c r="O59" i="11"/>
  <c r="L60" i="11"/>
  <c r="M60" i="11"/>
  <c r="N60" i="11"/>
  <c r="O60" i="11"/>
  <c r="Q35" i="11"/>
  <c r="R35" i="11"/>
  <c r="S35" i="11"/>
  <c r="T35" i="11"/>
  <c r="Q36" i="11"/>
  <c r="R36" i="11"/>
  <c r="S36" i="11"/>
  <c r="T36" i="11"/>
  <c r="Q37" i="11"/>
  <c r="R37" i="11"/>
  <c r="S37" i="11"/>
  <c r="T37" i="11"/>
  <c r="Q38" i="11"/>
  <c r="R38" i="11"/>
  <c r="S38" i="11"/>
  <c r="T38" i="11"/>
  <c r="Q41" i="11"/>
  <c r="R41" i="11"/>
  <c r="S41" i="11"/>
  <c r="T41" i="11"/>
  <c r="Q42" i="11"/>
  <c r="R42" i="11"/>
  <c r="S42" i="11"/>
  <c r="T42" i="11"/>
  <c r="Q43" i="11"/>
  <c r="R43" i="11"/>
  <c r="S43" i="11"/>
  <c r="T43" i="11"/>
  <c r="Q44" i="11"/>
  <c r="R44" i="11"/>
  <c r="S44" i="11"/>
  <c r="T44" i="11"/>
  <c r="Q45" i="11"/>
  <c r="R45" i="11"/>
  <c r="S45" i="11"/>
  <c r="T45" i="11"/>
  <c r="L35" i="11"/>
  <c r="M35" i="11"/>
  <c r="N35" i="11"/>
  <c r="O35" i="11"/>
  <c r="L36" i="11"/>
  <c r="M36" i="11"/>
  <c r="N36" i="11"/>
  <c r="O36" i="11"/>
  <c r="L37" i="11"/>
  <c r="M37" i="11"/>
  <c r="N37" i="11"/>
  <c r="O37" i="11"/>
  <c r="L38" i="11"/>
  <c r="M38" i="11"/>
  <c r="N38" i="11"/>
  <c r="O38" i="11"/>
  <c r="L41" i="11"/>
  <c r="M41" i="11"/>
  <c r="N41" i="11"/>
  <c r="O41" i="11"/>
  <c r="L42" i="11"/>
  <c r="M42" i="11"/>
  <c r="N42" i="11"/>
  <c r="O42" i="11"/>
  <c r="L43" i="11"/>
  <c r="M43" i="11"/>
  <c r="N43" i="11"/>
  <c r="O43" i="11"/>
  <c r="L44" i="11"/>
  <c r="M44" i="11"/>
  <c r="N44" i="11"/>
  <c r="O44" i="11"/>
  <c r="L45" i="11"/>
  <c r="M45" i="11"/>
  <c r="N45" i="11"/>
  <c r="O45" i="11"/>
  <c r="Q20" i="11"/>
  <c r="R20" i="11"/>
  <c r="S20" i="11"/>
  <c r="T20" i="11"/>
  <c r="Q21" i="11"/>
  <c r="R21" i="11"/>
  <c r="S21" i="11"/>
  <c r="T21" i="11"/>
  <c r="Q22" i="11"/>
  <c r="R22" i="11"/>
  <c r="S22" i="11"/>
  <c r="T22" i="11"/>
  <c r="Q23" i="11"/>
  <c r="R23" i="11"/>
  <c r="S23" i="11"/>
  <c r="T23" i="11"/>
  <c r="Q24" i="11"/>
  <c r="R24" i="11"/>
  <c r="S24" i="11"/>
  <c r="T24" i="11"/>
  <c r="Q25" i="11"/>
  <c r="R25" i="11"/>
  <c r="S25" i="11"/>
  <c r="T25" i="11"/>
  <c r="Q26" i="11"/>
  <c r="R26" i="11"/>
  <c r="S26" i="11"/>
  <c r="T26" i="11"/>
  <c r="Q27" i="11"/>
  <c r="R27" i="11"/>
  <c r="S27" i="11"/>
  <c r="T27" i="11"/>
  <c r="Q28" i="11"/>
  <c r="R28" i="11"/>
  <c r="S28" i="11"/>
  <c r="T28" i="11"/>
  <c r="Q29" i="11"/>
  <c r="R29" i="11"/>
  <c r="S29" i="11"/>
  <c r="T29" i="11"/>
  <c r="Q30" i="11"/>
  <c r="R30" i="11"/>
  <c r="S30" i="11"/>
  <c r="T30" i="11"/>
  <c r="L20" i="11"/>
  <c r="M20" i="11"/>
  <c r="N20" i="11"/>
  <c r="O20" i="11"/>
  <c r="L21" i="11"/>
  <c r="M21" i="11"/>
  <c r="N21" i="11"/>
  <c r="O21" i="11"/>
  <c r="L22" i="11"/>
  <c r="M22" i="11"/>
  <c r="N22" i="11"/>
  <c r="O22" i="11"/>
  <c r="L23" i="11"/>
  <c r="M23" i="11"/>
  <c r="N23" i="11"/>
  <c r="O23" i="11"/>
  <c r="L26" i="11"/>
  <c r="M26" i="11"/>
  <c r="N26" i="11"/>
  <c r="O26" i="11"/>
  <c r="L27" i="11"/>
  <c r="M27" i="11"/>
  <c r="N27" i="11"/>
  <c r="O27" i="11"/>
  <c r="L28" i="11"/>
  <c r="M28" i="11"/>
  <c r="N28" i="11"/>
  <c r="O28" i="11"/>
  <c r="L29" i="11"/>
  <c r="M29" i="11"/>
  <c r="N29" i="11"/>
  <c r="O29" i="11"/>
  <c r="L30" i="11"/>
  <c r="M30" i="11"/>
  <c r="N30" i="11"/>
  <c r="O30" i="11"/>
  <c r="M14" i="11"/>
  <c r="R14" i="11" s="1"/>
  <c r="M6" i="11"/>
  <c r="R6" i="11" s="1"/>
  <c r="N6" i="11"/>
  <c r="S6" i="11" s="1"/>
  <c r="O6" i="11"/>
  <c r="T6" i="11" s="1"/>
  <c r="M7" i="11"/>
  <c r="N7" i="11"/>
  <c r="S7" i="11" s="1"/>
  <c r="O7" i="11"/>
  <c r="T7" i="11" s="1"/>
  <c r="M8" i="11"/>
  <c r="R8" i="11" s="1"/>
  <c r="N8" i="11"/>
  <c r="S8" i="11" s="1"/>
  <c r="O8" i="11"/>
  <c r="T8" i="11" s="1"/>
  <c r="M9" i="11"/>
  <c r="R9" i="11" s="1"/>
  <c r="N9" i="11"/>
  <c r="O9" i="11"/>
  <c r="T9" i="11" s="1"/>
  <c r="M12" i="11"/>
  <c r="R12" i="11" s="1"/>
  <c r="N12" i="11"/>
  <c r="O12" i="11"/>
  <c r="T12" i="11" s="1"/>
  <c r="M13" i="11"/>
  <c r="R13" i="11" s="1"/>
  <c r="N13" i="11"/>
  <c r="S13" i="11" s="1"/>
  <c r="O13" i="11"/>
  <c r="T13" i="11" s="1"/>
  <c r="N14" i="11"/>
  <c r="S14" i="11" s="1"/>
  <c r="O14" i="11"/>
  <c r="T14" i="11" s="1"/>
  <c r="M15" i="11"/>
  <c r="R15" i="11" s="1"/>
  <c r="N15" i="11"/>
  <c r="S15" i="11" s="1"/>
  <c r="O15" i="11"/>
  <c r="T15" i="11" s="1"/>
  <c r="M16" i="11"/>
  <c r="R16" i="11" s="1"/>
  <c r="N16" i="11"/>
  <c r="S16" i="11" s="1"/>
  <c r="O16" i="11"/>
  <c r="T16" i="11" s="1"/>
  <c r="L6" i="11"/>
  <c r="Q6" i="11" s="1"/>
  <c r="L7" i="11"/>
  <c r="Q7" i="11" s="1"/>
  <c r="R7" i="11"/>
  <c r="L8" i="11"/>
  <c r="Q8" i="11" s="1"/>
  <c r="L9" i="11"/>
  <c r="Q9" i="11" s="1"/>
  <c r="S9" i="11"/>
  <c r="L12" i="11"/>
  <c r="Q12" i="11" s="1"/>
  <c r="S12" i="11"/>
  <c r="L13" i="11"/>
  <c r="Q13" i="11" s="1"/>
  <c r="L14" i="11"/>
  <c r="Q14" i="11" s="1"/>
  <c r="L15" i="11"/>
  <c r="Q15" i="11" s="1"/>
  <c r="L16" i="11"/>
  <c r="Q16" i="11" s="1"/>
  <c r="L4" i="16"/>
  <c r="M4" i="16"/>
  <c r="I4" i="13"/>
  <c r="P3" i="4"/>
  <c r="Q3" i="4"/>
  <c r="I3" i="4"/>
  <c r="F4" i="4"/>
  <c r="F5" i="4"/>
  <c r="F6" i="4"/>
  <c r="F7" i="4"/>
  <c r="F8" i="4"/>
  <c r="F9" i="4"/>
  <c r="F10" i="4"/>
  <c r="F11" i="4"/>
  <c r="F12" i="4"/>
  <c r="F13" i="4"/>
  <c r="F14" i="4"/>
  <c r="F15" i="4"/>
  <c r="F17" i="4"/>
  <c r="F18" i="4"/>
  <c r="F19" i="4"/>
  <c r="F20" i="4"/>
  <c r="F21" i="4"/>
  <c r="F22" i="4"/>
  <c r="F3" i="4"/>
  <c r="F15" i="16" l="1"/>
  <c r="K4" i="16"/>
  <c r="I6" i="13"/>
  <c r="F5" i="16" l="1"/>
  <c r="F7" i="16"/>
  <c r="F9" i="16"/>
  <c r="F11" i="16"/>
  <c r="F13" i="16"/>
  <c r="F17" i="16"/>
  <c r="F4" i="16"/>
  <c r="F6" i="13" l="1"/>
  <c r="J6" i="13" s="1"/>
  <c r="F7" i="13"/>
  <c r="F8" i="13"/>
  <c r="F9" i="13"/>
  <c r="F10" i="13"/>
  <c r="F11" i="13"/>
  <c r="F12" i="13"/>
  <c r="F13" i="13"/>
  <c r="F14" i="13"/>
  <c r="F15" i="13"/>
  <c r="D19" i="13"/>
  <c r="F19" i="13" s="1"/>
  <c r="D18" i="13"/>
  <c r="F18" i="13" s="1"/>
  <c r="D17" i="13"/>
  <c r="F17" i="13" s="1"/>
  <c r="D16" i="13"/>
  <c r="F16" i="13" s="1"/>
  <c r="D5" i="13"/>
  <c r="F5" i="13" s="1"/>
  <c r="D4" i="13"/>
  <c r="F4" i="13" l="1"/>
  <c r="J4" i="13" s="1"/>
  <c r="P10" i="4"/>
  <c r="O64" i="11" l="1"/>
  <c r="T64" i="11" s="1"/>
  <c r="N64" i="11"/>
  <c r="S64" i="11" s="1"/>
  <c r="M64" i="11"/>
  <c r="R64" i="11" s="1"/>
  <c r="L64" i="11"/>
  <c r="Q64" i="11" s="1"/>
  <c r="O49" i="11"/>
  <c r="T49" i="11" s="1"/>
  <c r="N49" i="11"/>
  <c r="S49" i="11" s="1"/>
  <c r="M49" i="11"/>
  <c r="R49" i="11" s="1"/>
  <c r="L49" i="11"/>
  <c r="Q49" i="11" s="1"/>
  <c r="O34" i="11"/>
  <c r="T34" i="11" s="1"/>
  <c r="N34" i="11"/>
  <c r="S34" i="11" s="1"/>
  <c r="M34" i="11"/>
  <c r="R34" i="11" s="1"/>
  <c r="L34" i="11"/>
  <c r="Q34" i="11" s="1"/>
  <c r="O19" i="11"/>
  <c r="T19" i="11" s="1"/>
  <c r="N19" i="11"/>
  <c r="S19" i="11" s="1"/>
  <c r="M19" i="11"/>
  <c r="R19" i="11" s="1"/>
  <c r="L19" i="11"/>
  <c r="Q19" i="11" s="1"/>
  <c r="M5" i="11"/>
  <c r="R5" i="11" s="1"/>
  <c r="N5" i="11"/>
  <c r="S5" i="11" s="1"/>
  <c r="O5" i="11"/>
  <c r="T5" i="11" s="1"/>
  <c r="L5" i="11"/>
  <c r="Q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tc={3E67998B-4D0C-482C-8AE0-DDECE5EEE6BF}</author>
    <author>tc={FCB54109-64CE-4504-85A9-50B880CD01CB}</author>
  </authors>
  <commentList>
    <comment ref="G1" authorId="0" shapeId="0" xr:uid="{3E67998B-4D0C-482C-8AE0-DDECE5EEE6BF}">
      <text>
        <t>[Threaded comment]
Your version of Excel allows you to read this threaded comment; however, any edits to it will get removed if the file is opened in a newer version of Excel. Learn more: https://go.microsoft.com/fwlink/?linkid=870924
Comment:
    Pocillopora as the brooder</t>
      </text>
    </comment>
    <comment ref="M1" authorId="1" shapeId="0" xr:uid="{FCB54109-64CE-4504-85A9-50B880CD01CB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tc={B26409EA-D541-4498-BA99-2D6F5871600C}</author>
  </authors>
  <commentList>
    <comment ref="G62" authorId="0" shapeId="0" xr:uid="{B26409EA-D541-4498-BA99-2D6F5871600C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- add up all the numbers in WCM per morphology. Then * 1.2. Then divide this number by the number of bins, then add that number to each bin.  And rerun☺️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tc={DF1D2451-4A31-45AA-A0F3-E54393B7C280}</author>
    <author>tc={64E0F535-EC09-4515-817F-ECCB33611937}</author>
    <author>tc={E6B34641-03DA-4874-A568-940BCED39421}</author>
    <author>tc={4BA23FF9-9EE7-4D36-AB49-C5F3430B5856}</author>
    <author>tc={C2E4D84E-6BDB-4F2A-806B-DE06F8C49BA0}</author>
  </authors>
  <commentList>
    <comment ref="D2" authorId="0" shapeId="0" xr:uid="{DF1D2451-4A31-45AA-A0F3-E54393B7C2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</t>
      </text>
    </comment>
    <comment ref="E2" authorId="1" shapeId="0" xr:uid="{64E0F535-EC09-4515-817F-ECCB33611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Montipora</t>
      </text>
    </comment>
    <comment ref="I2" authorId="2" shapeId="0" xr:uid="{E6B34641-03DA-4874-A568-940BCED3942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SC</t>
      </text>
    </comment>
    <comment ref="N2" authorId="3" shapeId="0" xr:uid="{4BA23FF9-9EE7-4D36-AB49-C5F3430B585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this to MA</t>
      </text>
    </comment>
    <comment ref="R2" authorId="4" shapeId="0" xr:uid="{C2E4D84E-6BDB-4F2A-806B-DE06F8C49BA0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at low number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tc={1A708812-7B42-4E96-86F6-D387C77BC5A6}</author>
    <author>tc={5E9EA7DB-B269-4603-B2C9-79B89A1EF8DD}</author>
    <author>tc={9F0A00BD-299B-45B4-8494-FC9BC050A711}</author>
    <author>tc={3D057C41-EC65-4186-9B66-D87A8B296143}</author>
    <author>tc={B8D8D2EA-1E01-44E0-A005-901B8B2BD9EB}</author>
    <author>tc={37FC3508-E2AC-42AC-ACCB-120A8B601307}</author>
    <author>tc={A9E4AE12-2091-4A69-B1C8-F4234B996872}</author>
  </authors>
  <commentList>
    <comment ref="D3" authorId="0" shapeId="0" xr:uid="{1A708812-7B42-4E96-86F6-D387C77BC5A6}">
      <text>
        <t>[Threaded comment]
Your version of Excel allows you to read this threaded comment; however, any edits to it will get removed if the file is opened in a newer version of Excel. Learn more: https://go.microsoft.com/fwlink/?linkid=870924
Comment:
    Around 5% of the other population as a starting point</t>
      </text>
    </comment>
    <comment ref="E3" authorId="1" shapeId="0" xr:uid="{5E9EA7DB-B269-4603-B2C9-79B89A1EF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Agaricia sp</t>
      </text>
    </comment>
    <comment ref="F3" authorId="2" shapeId="0" xr:uid="{9F0A00BD-299B-45B4-8494-FC9BC050A711}">
      <text>
        <t>[Threaded comment]
Your version of Excel allows you to read this threaded comment; however, any edits to it will get removed if the file is opened in a newer version of Excel. Learn more: https://go.microsoft.com/fwlink/?linkid=870924
Comment:
    Orb + madracis + montastrea + colpophyllia</t>
      </text>
    </comment>
    <comment ref="M3" authorId="3" shapeId="0" xr:uid="{3D057C41-EC65-4186-9B66-D87A8B2961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Agariacia + Mad
 is a brooder
</t>
      </text>
    </comment>
    <comment ref="I4" authorId="4" shapeId="0" xr:uid="{B8D8D2EA-1E01-44E0-A005-901B8B2BD9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from static measurements of the resilience of caribbean coral populations</t>
      </text>
    </comment>
    <comment ref="I11" authorId="5" shapeId="0" xr:uid="{37FC3508-E2AC-42AC-ACCB-120A8B60130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from static measurements of the resilience of caribbean coral populations</t>
      </text>
    </comment>
    <comment ref="I13" authorId="6" shapeId="0" xr:uid="{A9E4AE12-2091-4A69-B1C8-F4234B99687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from static measurements of the resilience of caribbean coral populations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tc={A25D41CC-0359-4C83-8EA9-FD795A853DC9}</author>
    <author>tc={D3B4CB07-25BD-48D4-9750-2695298488C2}</author>
    <author>tc={EB13EC67-F2EB-4606-84A9-3111C28951C2}</author>
    <author>tc={E1146DE4-EAC7-49A9-B37B-19AB8C733F16}</author>
  </authors>
  <commentList>
    <comment ref="D3" authorId="0" shapeId="0" xr:uid="{A25D41CC-0359-4C83-8EA9-FD795A853D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Acropora + poccillopora</t>
      </text>
    </comment>
    <comment ref="E3" authorId="1" shapeId="0" xr:uid="{D3B4CB07-25BD-48D4-9750-2695298488C2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Montipora</t>
      </text>
    </comment>
    <comment ref="F3" authorId="2" shapeId="0" xr:uid="{EB13EC67-F2EB-4606-84A9-3111C28951C2}">
      <text>
        <t>[Threaded comment]
Your version of Excel allows you to read this threaded comment; however, any edits to it will get removed if the file is opened in a newer version of Excel. Learn more: https://go.microsoft.com/fwlink/?linkid=870924
Comment:
    Porites + remaining unknowns</t>
      </text>
    </comment>
    <comment ref="K3" authorId="3" shapeId="0" xr:uid="{E1146DE4-EAC7-49A9-B37B-19AB8C733F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Poccillopora
</t>
      </text>
    </comment>
  </commentList>
</comments>
</file>

<file path=xl/sharedStrings.xml><?xml version="1.0" encoding="utf-8"?>
<sst xmlns="http://schemas.openxmlformats.org/spreadsheetml/2006/main" count="232" uniqueCount="124">
  <si>
    <t>Site</t>
  </si>
  <si>
    <t>Year range</t>
  </si>
  <si>
    <t>Coral community</t>
  </si>
  <si>
    <t>Habitat (m2)</t>
  </si>
  <si>
    <t>Reef shape</t>
  </si>
  <si>
    <t>Growth rates</t>
  </si>
  <si>
    <t>Opt_GP</t>
  </si>
  <si>
    <t>CW, IP, Shallow</t>
  </si>
  <si>
    <t>Mixed</t>
  </si>
  <si>
    <t>Branching</t>
  </si>
  <si>
    <t>Geoffrey Bay, GBR</t>
  </si>
  <si>
    <t>Tur, IP, Shallow</t>
  </si>
  <si>
    <t>Scott Reef, Indian Ocean</t>
  </si>
  <si>
    <t>Moorea, Pacific Ocean</t>
  </si>
  <si>
    <t>Bonaire, Carribean</t>
  </si>
  <si>
    <t>2005-2022</t>
  </si>
  <si>
    <t>Non-branching</t>
  </si>
  <si>
    <t>Branching to mixed</t>
  </si>
  <si>
    <t>2004-2017</t>
  </si>
  <si>
    <t>1995-2010</t>
  </si>
  <si>
    <t>1991-2006</t>
  </si>
  <si>
    <t>Year</t>
  </si>
  <si>
    <t>Hard coral cover</t>
  </si>
  <si>
    <t>Foliose</t>
  </si>
  <si>
    <t>Other</t>
  </si>
  <si>
    <t>Spawners B + F</t>
  </si>
  <si>
    <t>Spawners O</t>
  </si>
  <si>
    <t>Brooders</t>
  </si>
  <si>
    <t>Initial rugosity</t>
  </si>
  <si>
    <t>Turf</t>
  </si>
  <si>
    <t>CCA</t>
  </si>
  <si>
    <t>Macro</t>
  </si>
  <si>
    <t>Soft corals</t>
  </si>
  <si>
    <t>Impact</t>
  </si>
  <si>
    <t>DHW = 13</t>
  </si>
  <si>
    <t>DHW = 10</t>
  </si>
  <si>
    <t>DHW =8</t>
  </si>
  <si>
    <t>Percentage change</t>
  </si>
  <si>
    <t>Sensitivity</t>
  </si>
  <si>
    <t>Hard_substrate</t>
  </si>
  <si>
    <t>DCC</t>
  </si>
  <si>
    <t>TF</t>
  </si>
  <si>
    <t>MA</t>
  </si>
  <si>
    <t>RB</t>
  </si>
  <si>
    <t>Sed</t>
  </si>
  <si>
    <t>AIMS</t>
  </si>
  <si>
    <t>Gilmour 2013</t>
  </si>
  <si>
    <t>Adjeroud 2009</t>
  </si>
  <si>
    <t>Steneck 2019</t>
  </si>
  <si>
    <t>Stable year range</t>
  </si>
  <si>
    <t>1999 - 2010</t>
  </si>
  <si>
    <t>1993 - 2002</t>
  </si>
  <si>
    <t>2013-2017</t>
  </si>
  <si>
    <t>2012 - 2016</t>
  </si>
  <si>
    <t>Moorea</t>
  </si>
  <si>
    <t>coefficient = 2 for all morphologies</t>
  </si>
  <si>
    <t>Stable period conditions</t>
  </si>
  <si>
    <t>Heron, Southern GBR</t>
  </si>
  <si>
    <t>2008 to 2014</t>
  </si>
  <si>
    <t>2008 to 2023</t>
  </si>
  <si>
    <t>My paper - not sure if we should include at this stage?</t>
  </si>
  <si>
    <t>Remember to change PSD - use custom one!</t>
  </si>
  <si>
    <t>All years</t>
  </si>
  <si>
    <t>Bleaching coefficients</t>
  </si>
  <si>
    <t>10,20,40</t>
  </si>
  <si>
    <t>Cyclone coefficents</t>
  </si>
  <si>
    <t>Impacts</t>
  </si>
  <si>
    <t>DHW 7</t>
  </si>
  <si>
    <t>DWH 6</t>
  </si>
  <si>
    <t>DHW  6 and a cyclone 4, 100 km</t>
  </si>
  <si>
    <t>Model</t>
  </si>
  <si>
    <t>0.8,0.8,0.1</t>
  </si>
  <si>
    <t>2,2,1</t>
  </si>
  <si>
    <t>0.5,0.5,0.1</t>
  </si>
  <si>
    <t>Semi-protected</t>
  </si>
  <si>
    <t>protected</t>
  </si>
  <si>
    <t>5 - medium</t>
  </si>
  <si>
    <t>11 - medium</t>
  </si>
  <si>
    <t>4,4,0.8</t>
  </si>
  <si>
    <t>Source</t>
  </si>
  <si>
    <t>Cyclone</t>
  </si>
  <si>
    <t>Bleaching</t>
  </si>
  <si>
    <t>2009 to 2024</t>
  </si>
  <si>
    <t>2006, 2011</t>
  </si>
  <si>
    <t>2008, 2015, 2017, 2020, 2022</t>
  </si>
  <si>
    <t>1992, 1995, 2003, 2004</t>
  </si>
  <si>
    <t>Myrmidon, GBR</t>
  </si>
  <si>
    <t>Geoffrey Bay 2 m average of all sites</t>
  </si>
  <si>
    <t>DHW 12</t>
  </si>
  <si>
    <t>Orginal model outputs</t>
  </si>
  <si>
    <t>FOR RIO TO FILL</t>
  </si>
  <si>
    <t xml:space="preserve">Model 4: Decrease O % by 20% (New values = B=2.83, F=3.83, O=13.04 Brooder = 1, spawner =5.66, 13.04). </t>
  </si>
  <si>
    <t>Year for model</t>
  </si>
  <si>
    <t>CW, IP, Deep</t>
  </si>
  <si>
    <t>CW, Car, Deep</t>
  </si>
  <si>
    <t>For PSD</t>
  </si>
  <si>
    <t>6 - medium</t>
  </si>
  <si>
    <t>Loss in Branching cover resulting in the model under growing</t>
  </si>
  <si>
    <t>to 2023</t>
  </si>
  <si>
    <t>to 2023 with freq DHW events</t>
  </si>
  <si>
    <t>Potentially demonstrating a resilient reef</t>
  </si>
  <si>
    <t>2011-2022</t>
  </si>
  <si>
    <t>Model 2: AS x d=0.2 (TF + CCA + HS +DCC = 72.8*1.2 =87.36)</t>
  </si>
  <si>
    <t>Model 3: Number of recruite x d=1.2 (Line 74, 75 functions utils file *1.2 at the end)</t>
  </si>
  <si>
    <t>Model 5: B:WCM x d=1.2 (calculating a total 20% change and then divided among the 20 bins)</t>
  </si>
  <si>
    <t>test at higher value</t>
  </si>
  <si>
    <t>3.7,1.1,0.25</t>
  </si>
  <si>
    <t>cyclone Larry: 5,220</t>
  </si>
  <si>
    <t>cyclone yasi: 5,100</t>
  </si>
  <si>
    <t>2.9,2.5,1</t>
  </si>
  <si>
    <t>0.6,0.3,0.3</t>
  </si>
  <si>
    <t>3,3,0.8</t>
  </si>
  <si>
    <t>50,50,80</t>
  </si>
  <si>
    <t>Hurricane Omar cat 2 100 km</t>
  </si>
  <si>
    <t>added a storm event here to explain drop in Brancing corals 1:50</t>
  </si>
  <si>
    <t>3,2.5,2.1</t>
  </si>
  <si>
    <t>10,5,60</t>
  </si>
  <si>
    <t>{7:20, 15:10, 20:15, 25:12}</t>
  </si>
  <si>
    <t>Model data - polyp = 2 mmm reef area = 10000 gr=   3.7, 1.7, 0.5</t>
  </si>
  <si>
    <t>Model 1: gr x d=0.2 (NEW GR=4.44, 2.04, 0.6 )</t>
  </si>
  <si>
    <t>...</t>
  </si>
  <si>
    <t>RealBranching_Area (%)</t>
  </si>
  <si>
    <t>RealFoliose_Area (%)</t>
  </si>
  <si>
    <t>RealOther_Area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</si>
</sst>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 wrapText="1"/>
    </xf>
    <xf numFmtId="0" fontId="2" fillId="0" borderId="0" xfId="0" applyFont="1" applyAlignment="1">
      <alignment horizontal="left"/>
    </xf>
    <xf numFmtId="2" fontId="1" fillId="0" borderId="0" xfId="0" applyNumberFormat="1" applyFont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2" fontId="0" fillId="0" borderId="0" xfId="0" applyNumberFormat="1" applyAlignment="1">
      <alignment horizontal="right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0" fillId="3" borderId="0" xfId="0" applyFill="1" applyAlignment="1">
      <alignment horizontal="center"/>
    </xf>
    <xf numFmtId="0" fontId="5" fillId="0" borderId="0" xfId="0" applyFont="1"/>
    <xf numFmtId="2" fontId="0" fillId="0" borderId="0" xfId="0" applyNumberFormat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" fillId="6" borderId="0" xfId="0" applyFont="1" applyFill="1" applyAlignment="1">
      <alignment horizontal="center" wrapText="1"/>
    </xf>
    <xf numFmtId="0" fontId="0" fillId="6" borderId="0" xfId="0" applyFill="1"/>
    <xf numFmtId="0" fontId="0" fillId="3" borderId="0" xfId="0" applyFill="1" applyAlignment="1">
      <alignment horizontal="center" wrapText="1"/>
    </xf>
    <xf numFmtId="0" fontId="0" fillId="5" borderId="0" xfId="0" applyFill="1"/>
    <xf numFmtId="2" fontId="3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8" fillId="0" borderId="0" xfId="0" applyFont="1"/>
    <xf numFmtId="0" fontId="0" fillId="2" borderId="0" xfId="0" applyFill="1" applyAlignment="1">
      <alignment horizontal="left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'Geoffrey Bay'!$B$3:$B$22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xVal>
          <c:yVal>
            <c:numRef>
              <c:f>'Geoffrey Bay'!$C$3:$C$22</c:f>
              <c:numCache>
                <c:formatCode>General</c:formatCode>
                <c:ptCount val="20"/>
                <c:pt idx="0">
                  <c:v>17.899999999999999</c:v>
                </c:pt>
                <c:pt idx="1">
                  <c:v>13.7</c:v>
                </c:pt>
                <c:pt idx="2">
                  <c:v>18.8</c:v>
                </c:pt>
                <c:pt idx="3">
                  <c:v>17.7</c:v>
                </c:pt>
                <c:pt idx="4">
                  <c:v>17.399999999999999</c:v>
                </c:pt>
                <c:pt idx="5">
                  <c:v>13.3</c:v>
                </c:pt>
                <c:pt idx="6">
                  <c:v>10.7</c:v>
                </c:pt>
                <c:pt idx="7">
                  <c:v>9.1</c:v>
                </c:pt>
                <c:pt idx="8">
                  <c:v>10.8</c:v>
                </c:pt>
                <c:pt idx="9">
                  <c:v>13.8</c:v>
                </c:pt>
                <c:pt idx="10">
                  <c:v>13.2</c:v>
                </c:pt>
                <c:pt idx="11">
                  <c:v>17.600000000000001</c:v>
                </c:pt>
                <c:pt idx="12">
                  <c:v>14.9</c:v>
                </c:pt>
                <c:pt idx="14">
                  <c:v>21.8</c:v>
                </c:pt>
                <c:pt idx="15">
                  <c:v>17.100000000000001</c:v>
                </c:pt>
                <c:pt idx="16">
                  <c:v>26</c:v>
                </c:pt>
                <c:pt idx="17">
                  <c:v>26.9</c:v>
                </c:pt>
                <c:pt idx="18">
                  <c:v>26.8</c:v>
                </c:pt>
                <c:pt idx="19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CF-43E9-9B38-550F98E4469C}"/>
            </c:ext>
          </c:extLst>
        </c:ser>
        <c:ser>
          <c:idx val="2"/>
          <c:order val="1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'Geoffrey Bay'!$B$3:$B$22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xVal>
          <c:yVal>
            <c:numRef>
              <c:f>'Geoffrey Bay'!$V$3:$V$22</c:f>
              <c:numCache>
                <c:formatCode>General</c:formatCode>
                <c:ptCount val="20"/>
                <c:pt idx="0">
                  <c:v>17.899999999999999</c:v>
                </c:pt>
                <c:pt idx="1">
                  <c:v>11.490926393231209</c:v>
                </c:pt>
                <c:pt idx="2">
                  <c:v>12.031637074462679</c:v>
                </c:pt>
                <c:pt idx="3">
                  <c:v>12.79686143580976</c:v>
                </c:pt>
                <c:pt idx="4">
                  <c:v>13.816409641234721</c:v>
                </c:pt>
                <c:pt idx="5">
                  <c:v>15.05785118277562</c:v>
                </c:pt>
                <c:pt idx="6">
                  <c:v>10.94016777898011</c:v>
                </c:pt>
                <c:pt idx="7">
                  <c:v>12.793480756304289</c:v>
                </c:pt>
                <c:pt idx="8">
                  <c:v>14.866544892079631</c:v>
                </c:pt>
                <c:pt idx="9">
                  <c:v>17.10864463008468</c:v>
                </c:pt>
                <c:pt idx="10">
                  <c:v>19.46746127025677</c:v>
                </c:pt>
                <c:pt idx="11">
                  <c:v>21.836453775440201</c:v>
                </c:pt>
                <c:pt idx="12">
                  <c:v>15.336012442231789</c:v>
                </c:pt>
                <c:pt idx="13">
                  <c:v>16.45013606167613</c:v>
                </c:pt>
                <c:pt idx="14">
                  <c:v>19.012805838539439</c:v>
                </c:pt>
                <c:pt idx="15">
                  <c:v>17.558055035629629</c:v>
                </c:pt>
                <c:pt idx="16">
                  <c:v>20.02676566671029</c:v>
                </c:pt>
                <c:pt idx="17">
                  <c:v>21.124814149245299</c:v>
                </c:pt>
                <c:pt idx="18">
                  <c:v>23.65737176052394</c:v>
                </c:pt>
                <c:pt idx="19">
                  <c:v>17.79383352777695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CF-43E9-9B38-550F98E44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91392"/>
        <c:axId val="442585152"/>
      </c:scatterChart>
      <c:valAx>
        <c:axId val="4425913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85152"/>
        <c:crosses val="autoZero"/>
        <c:crossBetween val="midCat"/>
      </c:valAx>
      <c:valAx>
        <c:axId val="4425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9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Bonaire!$B$4:$B$30</c:f>
              <c:numCache>
                <c:formatCode>General</c:formatCode>
                <c:ptCount val="2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</c:numCache>
            </c:numRef>
          </c:xVal>
          <c:yVal>
            <c:numRef>
              <c:f>Bonaire!$C$4:$C$17</c:f>
              <c:numCache>
                <c:formatCode>General</c:formatCode>
                <c:ptCount val="14"/>
                <c:pt idx="0">
                  <c:v>43</c:v>
                </c:pt>
                <c:pt idx="1">
                  <c:v>46.7</c:v>
                </c:pt>
                <c:pt idx="3">
                  <c:v>47.3</c:v>
                </c:pt>
                <c:pt idx="5">
                  <c:v>42</c:v>
                </c:pt>
                <c:pt idx="7">
                  <c:v>36</c:v>
                </c:pt>
                <c:pt idx="9">
                  <c:v>36</c:v>
                </c:pt>
                <c:pt idx="11">
                  <c:v>38</c:v>
                </c:pt>
                <c:pt idx="13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E-4E8F-B4CF-BDEB29E35A99}"/>
            </c:ext>
          </c:extLst>
        </c:ser>
        <c:ser>
          <c:idx val="1"/>
          <c:order val="1"/>
          <c:tx>
            <c:v>Model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Bonaire!$B$4:$B$30</c:f>
              <c:numCache>
                <c:formatCode>General</c:formatCode>
                <c:ptCount val="2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</c:numCache>
            </c:numRef>
          </c:xVal>
          <c:yVal>
            <c:numRef>
              <c:f>Bonaire!$U$4:$U$17</c:f>
              <c:numCache>
                <c:formatCode>General</c:formatCode>
                <c:ptCount val="14"/>
                <c:pt idx="0">
                  <c:v>43</c:v>
                </c:pt>
                <c:pt idx="1">
                  <c:v>43.733427302788947</c:v>
                </c:pt>
                <c:pt idx="2">
                  <c:v>44.881859447670813</c:v>
                </c:pt>
                <c:pt idx="3">
                  <c:v>46.51210292272075</c:v>
                </c:pt>
                <c:pt idx="4">
                  <c:v>48.361073534523157</c:v>
                </c:pt>
                <c:pt idx="5">
                  <c:v>43.332171057784713</c:v>
                </c:pt>
                <c:pt idx="6">
                  <c:v>46.476775713331129</c:v>
                </c:pt>
                <c:pt idx="7">
                  <c:v>31.426235868540221</c:v>
                </c:pt>
                <c:pt idx="8">
                  <c:v>26.673676717340872</c:v>
                </c:pt>
                <c:pt idx="9">
                  <c:v>28.892699454800439</c:v>
                </c:pt>
                <c:pt idx="10">
                  <c:v>33.654404567612573</c:v>
                </c:pt>
                <c:pt idx="11">
                  <c:v>38.731822070651781</c:v>
                </c:pt>
                <c:pt idx="12">
                  <c:v>43.568298070367042</c:v>
                </c:pt>
                <c:pt idx="13">
                  <c:v>48.071644493834171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E-4E8F-B4CF-BDEB29E35A99}"/>
            </c:ext>
          </c:extLst>
        </c:ser>
        <c:ser>
          <c:idx val="2"/>
          <c:order val="2"/>
          <c:tx>
            <c:v>Future  to 2030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Bonaire!$B$4:$B$30</c:f>
              <c:numCache>
                <c:formatCode>General</c:formatCode>
                <c:ptCount val="2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</c:numCache>
            </c:numRef>
          </c:xVal>
          <c:yVal>
            <c:numRef>
              <c:f>Bonaire!$V$4:$V$30</c:f>
              <c:numCache>
                <c:formatCode>General</c:formatCode>
                <c:ptCount val="27"/>
                <c:pt idx="0">
                  <c:v>43</c:v>
                </c:pt>
                <c:pt idx="1">
                  <c:v>44.126645484814873</c:v>
                </c:pt>
                <c:pt idx="2">
                  <c:v>45.811788611609188</c:v>
                </c:pt>
                <c:pt idx="3">
                  <c:v>47.962201223260138</c:v>
                </c:pt>
                <c:pt idx="4">
                  <c:v>50.471456071030786</c:v>
                </c:pt>
                <c:pt idx="5">
                  <c:v>45.647543496686772</c:v>
                </c:pt>
                <c:pt idx="6">
                  <c:v>49.441050005318388</c:v>
                </c:pt>
                <c:pt idx="7">
                  <c:v>32.172884450051058</c:v>
                </c:pt>
                <c:pt idx="8">
                  <c:v>27.748467596762261</c:v>
                </c:pt>
                <c:pt idx="9">
                  <c:v>31.03079378375584</c:v>
                </c:pt>
                <c:pt idx="10">
                  <c:v>36.740906448778553</c:v>
                </c:pt>
                <c:pt idx="11">
                  <c:v>42.46143251170021</c:v>
                </c:pt>
                <c:pt idx="12">
                  <c:v>47.760853604848457</c:v>
                </c:pt>
                <c:pt idx="13">
                  <c:v>52.373183840964018</c:v>
                </c:pt>
                <c:pt idx="14">
                  <c:v>56.391604821647761</c:v>
                </c:pt>
                <c:pt idx="15">
                  <c:v>59.631326103520138</c:v>
                </c:pt>
                <c:pt idx="16">
                  <c:v>62.258620404763192</c:v>
                </c:pt>
                <c:pt idx="17">
                  <c:v>64.290585843394098</c:v>
                </c:pt>
                <c:pt idx="18">
                  <c:v>65.911966720650327</c:v>
                </c:pt>
                <c:pt idx="19">
                  <c:v>67.041527340996225</c:v>
                </c:pt>
                <c:pt idx="20">
                  <c:v>67.940414557256915</c:v>
                </c:pt>
                <c:pt idx="21">
                  <c:v>68.60271530300966</c:v>
                </c:pt>
                <c:pt idx="22">
                  <c:v>69.097810670261339</c:v>
                </c:pt>
                <c:pt idx="23">
                  <c:v>69.471099618099387</c:v>
                </c:pt>
                <c:pt idx="24">
                  <c:v>69.753033015066492</c:v>
                </c:pt>
                <c:pt idx="25">
                  <c:v>69.997734612097688</c:v>
                </c:pt>
                <c:pt idx="26">
                  <c:v>70.170720521081378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E-4E8F-B4CF-BDEB29E35A99}"/>
            </c:ext>
          </c:extLst>
        </c:ser>
        <c:ser>
          <c:idx val="3"/>
          <c:order val="3"/>
          <c:tx>
            <c:v>Future with stress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Bonaire!$B$4:$B$30</c:f>
              <c:numCache>
                <c:formatCode>General</c:formatCode>
                <c:ptCount val="2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</c:numCache>
            </c:numRef>
          </c:xVal>
          <c:yVal>
            <c:numRef>
              <c:f>Bonaire!$W$4:$W$30</c:f>
              <c:numCache>
                <c:formatCode>General</c:formatCode>
                <c:ptCount val="27"/>
                <c:pt idx="0">
                  <c:v>43</c:v>
                </c:pt>
                <c:pt idx="1">
                  <c:v>43.728605858775943</c:v>
                </c:pt>
                <c:pt idx="2">
                  <c:v>44.901859923001417</c:v>
                </c:pt>
                <c:pt idx="3">
                  <c:v>46.588373920115977</c:v>
                </c:pt>
                <c:pt idx="4">
                  <c:v>48.646445011950519</c:v>
                </c:pt>
                <c:pt idx="5">
                  <c:v>43.659553482972193</c:v>
                </c:pt>
                <c:pt idx="6">
                  <c:v>46.895697276210292</c:v>
                </c:pt>
                <c:pt idx="7">
                  <c:v>31.42359791245892</c:v>
                </c:pt>
                <c:pt idx="8">
                  <c:v>26.738986501618179</c:v>
                </c:pt>
                <c:pt idx="9">
                  <c:v>29.23057479945091</c:v>
                </c:pt>
                <c:pt idx="10">
                  <c:v>34.195473216358693</c:v>
                </c:pt>
                <c:pt idx="11">
                  <c:v>39.375745481128739</c:v>
                </c:pt>
                <c:pt idx="12">
                  <c:v>44.361960585938839</c:v>
                </c:pt>
                <c:pt idx="13">
                  <c:v>48.850065376297543</c:v>
                </c:pt>
                <c:pt idx="14">
                  <c:v>52.93808146998763</c:v>
                </c:pt>
                <c:pt idx="15">
                  <c:v>49.797938857757018</c:v>
                </c:pt>
                <c:pt idx="16">
                  <c:v>53.193396741449448</c:v>
                </c:pt>
                <c:pt idx="17">
                  <c:v>56.547357131431113</c:v>
                </c:pt>
                <c:pt idx="18">
                  <c:v>59.433070008629123</c:v>
                </c:pt>
                <c:pt idx="19">
                  <c:v>61.831614149539583</c:v>
                </c:pt>
                <c:pt idx="20">
                  <c:v>41.376975344382799</c:v>
                </c:pt>
                <c:pt idx="21">
                  <c:v>43.202030582109757</c:v>
                </c:pt>
                <c:pt idx="22">
                  <c:v>48.530571293913667</c:v>
                </c:pt>
                <c:pt idx="23">
                  <c:v>43.5549728087773</c:v>
                </c:pt>
                <c:pt idx="24">
                  <c:v>48.115626790984422</c:v>
                </c:pt>
                <c:pt idx="25">
                  <c:v>52.850796245098458</c:v>
                </c:pt>
                <c:pt idx="26">
                  <c:v>56.765421949750703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E-4E8F-B4CF-BDEB29E35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282847"/>
        <c:axId val="1087303967"/>
      </c:scatterChart>
      <c:valAx>
        <c:axId val="10872828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03967"/>
        <c:crosses val="autoZero"/>
        <c:crossBetween val="midCat"/>
      </c:valAx>
      <c:valAx>
        <c:axId val="10873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28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Moorea!$B$4:$B$19</c:f>
              <c:numCache>
                <c:formatCode>General</c:formatCode>
                <c:ptCount val="16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</c:numCache>
            </c:numRef>
          </c:xVal>
          <c:yVal>
            <c:numRef>
              <c:f>Moorea!$C$4:$C$19</c:f>
              <c:numCache>
                <c:formatCode>General</c:formatCode>
                <c:ptCount val="16"/>
                <c:pt idx="0">
                  <c:v>51</c:v>
                </c:pt>
                <c:pt idx="1">
                  <c:v>24</c:v>
                </c:pt>
                <c:pt idx="2">
                  <c:v>22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37</c:v>
                </c:pt>
                <c:pt idx="7">
                  <c:v>43</c:v>
                </c:pt>
                <c:pt idx="8">
                  <c:v>42.5</c:v>
                </c:pt>
                <c:pt idx="9">
                  <c:v>42</c:v>
                </c:pt>
                <c:pt idx="10">
                  <c:v>49.5</c:v>
                </c:pt>
                <c:pt idx="11">
                  <c:v>49</c:v>
                </c:pt>
                <c:pt idx="12">
                  <c:v>45</c:v>
                </c:pt>
                <c:pt idx="13">
                  <c:v>50</c:v>
                </c:pt>
                <c:pt idx="14">
                  <c:v>49</c:v>
                </c:pt>
                <c:pt idx="15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A8-4769-9FC3-4E26A8781582}"/>
            </c:ext>
          </c:extLst>
        </c:ser>
        <c:ser>
          <c:idx val="2"/>
          <c:order val="1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Moorea!$B$4:$B$19</c:f>
              <c:numCache>
                <c:formatCode>General</c:formatCode>
                <c:ptCount val="16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</c:numCache>
            </c:numRef>
          </c:xVal>
          <c:yVal>
            <c:numRef>
              <c:f>Moorea!$U$4:$U$19</c:f>
              <c:numCache>
                <c:formatCode>General</c:formatCode>
                <c:ptCount val="16"/>
                <c:pt idx="0">
                  <c:v>51</c:v>
                </c:pt>
                <c:pt idx="1">
                  <c:v>22.280102449928702</c:v>
                </c:pt>
                <c:pt idx="2">
                  <c:v>22.635528498287989</c:v>
                </c:pt>
                <c:pt idx="3">
                  <c:v>24.15622918497828</c:v>
                </c:pt>
                <c:pt idx="4">
                  <c:v>21.710569008245631</c:v>
                </c:pt>
                <c:pt idx="5">
                  <c:v>22.85913233715495</c:v>
                </c:pt>
                <c:pt idx="6">
                  <c:v>25.5215408085358</c:v>
                </c:pt>
                <c:pt idx="7">
                  <c:v>28.816952710679281</c:v>
                </c:pt>
                <c:pt idx="8">
                  <c:v>32.427768734270721</c:v>
                </c:pt>
                <c:pt idx="9">
                  <c:v>36.145641399767172</c:v>
                </c:pt>
                <c:pt idx="10">
                  <c:v>39.880106583213092</c:v>
                </c:pt>
                <c:pt idx="11">
                  <c:v>43.499634635932019</c:v>
                </c:pt>
                <c:pt idx="12">
                  <c:v>43.682488091091102</c:v>
                </c:pt>
                <c:pt idx="13">
                  <c:v>45.49679122796114</c:v>
                </c:pt>
                <c:pt idx="14">
                  <c:v>48.362592298221628</c:v>
                </c:pt>
                <c:pt idx="15">
                  <c:v>51.26307360613464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A8-4769-9FC3-4E26A8781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01536"/>
        <c:axId val="220600576"/>
      </c:scatterChart>
      <c:valAx>
        <c:axId val="2206015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00576"/>
        <c:crosses val="autoZero"/>
        <c:crossBetween val="midCat"/>
      </c:valAx>
      <c:valAx>
        <c:axId val="22060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0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218282</xdr:colOff>
      <xdr:row>1</xdr:row>
      <xdr:rowOff>529430</xdr:rowOff>
    </xdr:from>
    <xdr:to>
      <xdr:col>31</xdr:col>
      <xdr:colOff>511968</xdr:colOff>
      <xdr:row>13</xdr:row>
      <xdr:rowOff>161130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6D12A1-F9BE-FBF9-9753-E7106851E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281780</xdr:colOff>
      <xdr:row>4</xdr:row>
      <xdr:rowOff>172244</xdr:rowOff>
    </xdr:from>
    <xdr:to>
      <xdr:col>30</xdr:col>
      <xdr:colOff>575468</xdr:colOff>
      <xdr:row>19</xdr:row>
      <xdr:rowOff>177005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6DA2A5-6FC4-383A-60CC-ED9069491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167822</xdr:colOff>
      <xdr:row>3</xdr:row>
      <xdr:rowOff>29935</xdr:rowOff>
    </xdr:from>
    <xdr:to>
      <xdr:col>30</xdr:col>
      <xdr:colOff>485322</xdr:colOff>
      <xdr:row>18</xdr:row>
      <xdr:rowOff>51706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69C3C-5A26-CE1D-828B-164D10B3E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cola Browne" id="{7CCAABF8-B327-48A8-BD18-799C93BE0336}" userId="S::uqnbro13@uq.edu.au::7fcc0c88-eca3-493b-92e8-b69a62f993be" providerId="AD"/>
  <person displayName="Nicola Browne" id="{CAAED7EC-4FF9-4C89-A38E-D51BEBA84709}" userId="S::261731A@curtin.edu.au::0ee04248-d62a-48f1-a843-4903d9502bb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3-09-01T05:03:46.29" personId="{7CCAABF8-B327-48A8-BD18-799C93BE0336}" id="{3E67998B-4D0C-482C-8AE0-DDECE5EEE6BF}">
    <text>Pocillopora as the brooder</text>
  </threadedComment>
  <threadedComment ref="M1" dT="2024-12-18T02:18:43.01" personId="{7CCAABF8-B327-48A8-BD18-799C93BE0336}" id="{FCB54109-64CE-4504-85A9-50B880CD01CB}">
    <text>Includes SC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62" dT="2024-12-18T03:55:20.25" personId="{7CCAABF8-B327-48A8-BD18-799C93BE0336}" id="{B26409EA-D541-4498-BA99-2D6F5871600C}">
    <text>Here - add up all the numbers in WCM per morphology. Then * 1.2. Then divide this number by the number of bins, then add that number to each bin.  And rerun☺️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4-12-18T03:27:00.92" personId="{7CCAABF8-B327-48A8-BD18-799C93BE0336}" id="{DF1D2451-4A31-45AA-A0F3-E54393B7C280}">
    <text xml:space="preserve">A </text>
  </threadedComment>
  <threadedComment ref="E2" dT="2024-12-18T03:27:07.77" personId="{7CCAABF8-B327-48A8-BD18-799C93BE0336}" id="{64E0F535-EC09-4515-817F-ECCB33611937}">
    <text>Montipora</text>
  </threadedComment>
  <threadedComment ref="I2" dT="2025-01-15T00:58:08.20" personId="{7CCAABF8-B327-48A8-BD18-799C93BE0336}" id="{E6B34641-03DA-4874-A568-940BCED39421}">
    <text>Includes SC</text>
  </threadedComment>
  <threadedComment ref="N2" dT="2024-12-13T03:18:36.29" personId="{7CCAABF8-B327-48A8-BD18-799C93BE0336}" id="{4BA23FF9-9EE7-4D36-AB49-C5F3430B5856}">
    <text>Add this to MA</text>
  </threadedComment>
  <threadedComment ref="R2" dT="2024-12-18T03:31:15.85" personId="{7CCAABF8-B327-48A8-BD18-799C93BE0336}" id="{C2E4D84E-6BDB-4F2A-806B-DE06F8C49BA0}">
    <text>Set at low number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" dT="2024-12-12T01:46:16.01" personId="{7CCAABF8-B327-48A8-BD18-799C93BE0336}" id="{1A708812-7B42-4E96-86F6-D387C77BC5A6}">
    <text>Around 5% of the other population as a starting point</text>
  </threadedComment>
  <threadedComment ref="E3" dT="2024-12-12T01:38:31.58" personId="{7CCAABF8-B327-48A8-BD18-799C93BE0336}" id="{5E9EA7DB-B269-4603-B2C9-79B89A1EF8DD}">
    <text>Agaricia sp</text>
  </threadedComment>
  <threadedComment ref="F3" dT="2024-12-12T01:38:56.12" personId="{7CCAABF8-B327-48A8-BD18-799C93BE0336}" id="{9F0A00BD-299B-45B4-8494-FC9BC050A711}">
    <text>Orb + madracis + montastrea + colpophyllia</text>
  </threadedComment>
  <threadedComment ref="M3" dT="2024-12-12T01:53:56.81" personId="{7CCAABF8-B327-48A8-BD18-799C93BE0336}" id="{3D057C41-EC65-4186-9B66-D87A8B296143}">
    <text xml:space="preserve">Agariacia + Mad
 is a brooder
</text>
  </threadedComment>
  <threadedComment ref="I4" dT="2024-12-12T01:52:30.29" personId="{7CCAABF8-B327-48A8-BD18-799C93BE0336}" id="{B8D8D2EA-1E01-44E0-A005-901B8B2BD9EB}">
    <text>These numbers from static measurements of the resilience of caribbean coral populations</text>
  </threadedComment>
  <threadedComment ref="I11" dT="2024-12-12T01:52:30.29" personId="{7CCAABF8-B327-48A8-BD18-799C93BE0336}" id="{37FC3508-E2AC-42AC-ACCB-120A8B601307}">
    <text>These numbers from static measurements of the resilience of caribbean coral populations</text>
  </threadedComment>
  <threadedComment ref="I13" dT="2024-12-12T01:52:30.29" personId="{7CCAABF8-B327-48A8-BD18-799C93BE0336}" id="{A9E4AE12-2091-4A69-B1C8-F4234B996872}">
    <text>These numbers from static measurements of the resilience of caribbean coral populations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3" dT="2023-04-27T00:36:15.80" personId="{CAAED7EC-4FF9-4C89-A38E-D51BEBA84709}" id="{A25D41CC-0359-4C83-8EA9-FD795A853DC9}">
    <text>Acropora + poccillopora</text>
  </threadedComment>
  <threadedComment ref="E3" dT="2023-04-27T00:36:45.27" personId="{CAAED7EC-4FF9-4C89-A38E-D51BEBA84709}" id="{D3B4CB07-25BD-48D4-9750-2695298488C2}">
    <text>Montipora</text>
  </threadedComment>
  <threadedComment ref="F3" dT="2023-04-27T00:37:00.23" personId="{CAAED7EC-4FF9-4C89-A38E-D51BEBA84709}" id="{EB13EC67-F2EB-4606-84A9-3111C28951C2}">
    <text>Porites + remaining unknowns</text>
  </threadedComment>
  <threadedComment ref="K3" dT="2023-04-12T04:03:16.66" personId="{CAAED7EC-4FF9-4C89-A38E-D51BEBA84709}" id="{E1146DE4-EAC7-49A9-B37B-19AB8C733F16}">
    <text xml:space="preserve">Poccillopora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91FB-F623-406E-BA01-04AB7E2AF3EF}">
  <dimension ref="A1:AQ34"/>
  <sheetViews>
    <sheetView tabSelected="1" zoomScale="80" zoomScaleNormal="80" workbookViewId="0">
      <selection activeCell="W24" sqref="W24"/>
    </sheetView>
  </sheetViews>
  <sheetFormatPr baseColWidth="10" defaultColWidth="8.83203125" defaultRowHeight="15" x14ac:dyDescent="0.2"/>
  <cols>
    <col min="18" max="19" width="13.6640625" style="37" customWidth="1"/>
    <col min="20" max="20" width="9.33203125" bestFit="1" customWidth="1"/>
    <col min="22" max="23" width="8.6640625" style="39"/>
  </cols>
  <sheetData>
    <row r="1" spans="1:43" ht="48" x14ac:dyDescent="0.2">
      <c r="A1" s="5" t="s">
        <v>21</v>
      </c>
      <c r="B1" s="5" t="s">
        <v>121</v>
      </c>
      <c r="C1" s="5" t="s">
        <v>122</v>
      </c>
      <c r="D1" s="5" t="s">
        <v>123</v>
      </c>
      <c r="E1" s="5"/>
      <c r="F1" s="5"/>
      <c r="G1" s="5"/>
      <c r="H1" s="5"/>
      <c r="I1" s="3"/>
      <c r="J1" s="3"/>
      <c r="K1" s="3"/>
      <c r="L1" s="3"/>
      <c r="M1" s="3"/>
      <c r="N1" s="3"/>
      <c r="O1" s="3"/>
      <c r="P1" s="3"/>
      <c r="R1" s="38"/>
      <c r="S1" s="38"/>
      <c r="T1" s="5"/>
      <c r="U1" s="5"/>
      <c r="V1" s="30"/>
      <c r="W1" s="30"/>
    </row>
    <row r="2" spans="1:43" x14ac:dyDescent="0.2">
      <c r="A2" s="28">
        <v>2009</v>
      </c>
      <c r="B2" s="28">
        <v>5.7</v>
      </c>
      <c r="C2" s="28">
        <v>2.6</v>
      </c>
      <c r="D2" s="28">
        <v>20.3</v>
      </c>
      <c r="E2" s="28"/>
      <c r="F2" s="28"/>
      <c r="G2" s="28"/>
      <c r="H2" s="28"/>
      <c r="I2" s="28"/>
      <c r="J2" s="28"/>
      <c r="M2" s="28"/>
      <c r="N2" s="28"/>
      <c r="O2" s="28"/>
    </row>
    <row r="3" spans="1:43" x14ac:dyDescent="0.2">
      <c r="A3" s="28">
        <v>2010</v>
      </c>
      <c r="B3" s="28"/>
      <c r="C3" s="28"/>
      <c r="D3" s="28"/>
      <c r="E3" s="28"/>
      <c r="F3" s="28"/>
      <c r="G3" s="28"/>
      <c r="H3" s="28"/>
      <c r="I3" s="28"/>
      <c r="J3" s="28"/>
    </row>
    <row r="4" spans="1:43" s="12" customFormat="1" x14ac:dyDescent="0.2">
      <c r="A4" s="21">
        <v>2011</v>
      </c>
      <c r="B4" s="21">
        <v>1.2</v>
      </c>
      <c r="C4" s="21">
        <v>2.2000000000000002</v>
      </c>
      <c r="D4" s="34">
        <v>16.3</v>
      </c>
      <c r="E4" s="21"/>
      <c r="F4" s="21"/>
      <c r="G4" s="21"/>
      <c r="H4" s="21"/>
      <c r="I4" s="21"/>
      <c r="P4"/>
      <c r="R4" s="23"/>
      <c r="S4" s="23"/>
      <c r="T4"/>
      <c r="U4"/>
      <c r="V4" s="39"/>
      <c r="W4" s="39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3" x14ac:dyDescent="0.2">
      <c r="A5" s="1">
        <v>2012</v>
      </c>
      <c r="B5" s="1"/>
      <c r="C5" s="1"/>
      <c r="D5" s="1"/>
      <c r="E5" s="1"/>
      <c r="F5" s="1"/>
      <c r="G5" s="1"/>
      <c r="H5" s="1"/>
      <c r="I5" s="1"/>
      <c r="R5" s="23"/>
      <c r="S5" s="23"/>
    </row>
    <row r="6" spans="1:43" x14ac:dyDescent="0.2">
      <c r="A6" s="1">
        <v>2013</v>
      </c>
      <c r="B6" s="1">
        <v>1.9</v>
      </c>
      <c r="C6" s="1">
        <v>2.2000000000000002</v>
      </c>
      <c r="D6" s="28">
        <v>18.500000000000004</v>
      </c>
      <c r="E6" s="1"/>
      <c r="F6" s="1"/>
      <c r="G6" s="1"/>
      <c r="H6" s="1"/>
      <c r="I6" s="2"/>
      <c r="J6" s="2"/>
      <c r="K6" s="2"/>
      <c r="L6" s="2"/>
      <c r="M6" s="2"/>
      <c r="N6" s="2"/>
      <c r="O6" s="2"/>
      <c r="R6" s="23"/>
      <c r="S6" s="23"/>
    </row>
    <row r="7" spans="1:43" x14ac:dyDescent="0.2">
      <c r="A7" s="1">
        <v>2014</v>
      </c>
      <c r="B7" s="1"/>
      <c r="C7" s="1"/>
      <c r="D7" s="1"/>
      <c r="E7" s="1"/>
      <c r="F7" s="1"/>
      <c r="G7" s="1"/>
      <c r="H7" s="1"/>
      <c r="I7" s="2"/>
      <c r="R7" s="23"/>
      <c r="S7" s="23"/>
    </row>
    <row r="8" spans="1:43" x14ac:dyDescent="0.2">
      <c r="A8" s="1">
        <v>2015</v>
      </c>
      <c r="B8" s="1">
        <v>4.0999999999999996</v>
      </c>
      <c r="C8" s="1">
        <v>2.7</v>
      </c>
      <c r="D8" s="28">
        <v>16.3</v>
      </c>
      <c r="E8" s="1"/>
      <c r="F8" s="1"/>
      <c r="G8" s="1"/>
      <c r="H8" s="1"/>
      <c r="I8" s="2"/>
      <c r="R8" s="23"/>
      <c r="S8" s="23"/>
    </row>
    <row r="9" spans="1:43" x14ac:dyDescent="0.2">
      <c r="A9" s="1">
        <v>2016</v>
      </c>
      <c r="B9" s="1"/>
      <c r="C9" s="1"/>
      <c r="D9" s="1"/>
      <c r="E9" s="1"/>
      <c r="F9" s="1"/>
      <c r="G9" s="1"/>
      <c r="H9" s="1"/>
      <c r="I9" s="2"/>
      <c r="R9" s="23"/>
      <c r="S9" s="23"/>
    </row>
    <row r="10" spans="1:43" x14ac:dyDescent="0.2">
      <c r="A10" s="1">
        <v>2017</v>
      </c>
      <c r="B10" s="1">
        <v>8</v>
      </c>
      <c r="C10" s="1">
        <v>2.7</v>
      </c>
      <c r="D10" s="28">
        <v>14.100000000000001</v>
      </c>
      <c r="E10" s="1"/>
      <c r="F10" s="1"/>
      <c r="G10" s="1"/>
      <c r="H10" s="1"/>
      <c r="I10" s="2"/>
      <c r="R10" s="23"/>
      <c r="S10" s="23"/>
    </row>
    <row r="11" spans="1:43" x14ac:dyDescent="0.2">
      <c r="A11" s="1">
        <v>2018</v>
      </c>
      <c r="B11" s="1"/>
      <c r="C11" s="1"/>
      <c r="D11" s="1"/>
      <c r="E11" s="1"/>
      <c r="F11" s="1"/>
      <c r="G11" s="1"/>
      <c r="H11" s="1"/>
      <c r="I11" s="2"/>
      <c r="R11" s="23"/>
      <c r="S11" s="23"/>
    </row>
    <row r="12" spans="1:43" x14ac:dyDescent="0.2">
      <c r="A12" s="1">
        <v>2019</v>
      </c>
      <c r="B12" s="1">
        <v>13</v>
      </c>
      <c r="C12" s="1">
        <v>2.4</v>
      </c>
      <c r="D12" s="28">
        <v>12.9</v>
      </c>
      <c r="E12" s="1"/>
      <c r="F12" s="1"/>
      <c r="G12" s="1"/>
      <c r="H12" s="1"/>
      <c r="I12" s="2"/>
      <c r="R12" s="23"/>
      <c r="S12" s="23"/>
    </row>
    <row r="13" spans="1:43" x14ac:dyDescent="0.2">
      <c r="A13" s="1">
        <v>2020</v>
      </c>
      <c r="B13" s="1">
        <v>14.2</v>
      </c>
      <c r="C13" s="1">
        <v>2.7</v>
      </c>
      <c r="D13" s="28">
        <v>17.200000000000003</v>
      </c>
      <c r="E13" s="1"/>
      <c r="F13" s="1"/>
      <c r="G13" s="1"/>
      <c r="H13" s="1"/>
      <c r="I13" s="2"/>
      <c r="R13" s="23"/>
      <c r="S13" s="23"/>
    </row>
    <row r="14" spans="1:43" x14ac:dyDescent="0.2">
      <c r="A14" s="1">
        <v>2021</v>
      </c>
      <c r="B14" s="1">
        <v>19.100000000000001</v>
      </c>
      <c r="C14" s="1">
        <v>2.2000000000000002</v>
      </c>
      <c r="D14" s="28">
        <v>13.900000000000002</v>
      </c>
      <c r="E14" s="1"/>
      <c r="F14" s="1"/>
      <c r="G14" s="1"/>
      <c r="H14" s="1"/>
      <c r="I14" s="2"/>
      <c r="R14" s="23"/>
      <c r="S14" s="23"/>
    </row>
    <row r="15" spans="1:43" x14ac:dyDescent="0.2">
      <c r="A15" s="1">
        <v>2022</v>
      </c>
      <c r="B15" s="1">
        <v>18.8</v>
      </c>
      <c r="C15" s="1">
        <v>2.8</v>
      </c>
      <c r="D15" s="28">
        <v>15.399999999999999</v>
      </c>
      <c r="E15" s="1"/>
      <c r="F15" s="1"/>
      <c r="G15" s="1"/>
      <c r="H15" s="1"/>
      <c r="I15" s="1"/>
      <c r="R15" s="23"/>
      <c r="S15" s="23"/>
    </row>
    <row r="16" spans="1:43" x14ac:dyDescent="0.2">
      <c r="A16" s="1">
        <v>2023</v>
      </c>
      <c r="B16" s="1">
        <v>18.2</v>
      </c>
      <c r="C16" s="1">
        <v>3</v>
      </c>
      <c r="D16" s="28">
        <v>17.900000000000002</v>
      </c>
    </row>
    <row r="17" spans="1:4" x14ac:dyDescent="0.2">
      <c r="A17" s="1">
        <v>2024</v>
      </c>
      <c r="B17" s="1">
        <v>10</v>
      </c>
      <c r="C17" s="1">
        <v>3.3</v>
      </c>
      <c r="D17" s="28">
        <v>21.599999999999998</v>
      </c>
    </row>
    <row r="18" spans="1:4" x14ac:dyDescent="0.2">
      <c r="A18" s="1"/>
    </row>
    <row r="19" spans="1:4" x14ac:dyDescent="0.2">
      <c r="A19" s="1"/>
    </row>
    <row r="20" spans="1:4" x14ac:dyDescent="0.2">
      <c r="A20" s="1"/>
    </row>
    <row r="21" spans="1:4" x14ac:dyDescent="0.2">
      <c r="A21" s="1"/>
    </row>
    <row r="22" spans="1:4" x14ac:dyDescent="0.2">
      <c r="A22" s="1"/>
    </row>
    <row r="23" spans="1:4" x14ac:dyDescent="0.2">
      <c r="A23" s="1"/>
    </row>
    <row r="24" spans="1:4" x14ac:dyDescent="0.2">
      <c r="A24" s="1"/>
    </row>
    <row r="25" spans="1:4" x14ac:dyDescent="0.2">
      <c r="A25" s="1"/>
    </row>
    <row r="26" spans="1:4" x14ac:dyDescent="0.2">
      <c r="A26" s="1"/>
    </row>
    <row r="27" spans="1:4" x14ac:dyDescent="0.2">
      <c r="A27" s="1"/>
    </row>
    <row r="28" spans="1:4" x14ac:dyDescent="0.2">
      <c r="A28" s="1"/>
    </row>
    <row r="29" spans="1:4" x14ac:dyDescent="0.2">
      <c r="A29" s="1"/>
    </row>
    <row r="30" spans="1:4" x14ac:dyDescent="0.2">
      <c r="A30" s="1"/>
    </row>
    <row r="34" spans="1:2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36"/>
      <c r="T34" s="20"/>
      <c r="U34" s="20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FDD4-0CAB-40F1-A71D-2526BE4F49C9}">
  <dimension ref="A1:L11"/>
  <sheetViews>
    <sheetView zoomScale="80" zoomScaleNormal="80" workbookViewId="0">
      <selection activeCell="L15" sqref="L15"/>
    </sheetView>
  </sheetViews>
  <sheetFormatPr baseColWidth="10" defaultColWidth="8.83203125" defaultRowHeight="15" x14ac:dyDescent="0.2"/>
  <cols>
    <col min="2" max="2" width="21.83203125" style="1" bestFit="1" customWidth="1"/>
    <col min="3" max="3" width="13.6640625" style="1" bestFit="1" customWidth="1"/>
    <col min="4" max="4" width="13.6640625" style="1" customWidth="1"/>
    <col min="5" max="5" width="8.6640625" style="1"/>
    <col min="6" max="6" width="17.5" style="1" bestFit="1" customWidth="1"/>
    <col min="7" max="7" width="11.33203125" style="1" bestFit="1" customWidth="1"/>
    <col min="8" max="8" width="10" style="1" bestFit="1" customWidth="1"/>
    <col min="9" max="9" width="14.83203125" style="1" bestFit="1" customWidth="1"/>
    <col min="10" max="10" width="8.6640625" style="1"/>
  </cols>
  <sheetData>
    <row r="1" spans="1:12" x14ac:dyDescent="0.2">
      <c r="C1" s="14" t="s">
        <v>56</v>
      </c>
      <c r="I1" s="1" t="s">
        <v>55</v>
      </c>
    </row>
    <row r="3" spans="1:12" s="3" customFormat="1" x14ac:dyDescent="0.2">
      <c r="A3" s="3" t="s">
        <v>79</v>
      </c>
      <c r="B3" s="2" t="s">
        <v>0</v>
      </c>
      <c r="C3" s="2" t="s">
        <v>95</v>
      </c>
      <c r="D3" s="2" t="s">
        <v>49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3" t="s">
        <v>80</v>
      </c>
      <c r="L3" s="3" t="s">
        <v>81</v>
      </c>
    </row>
    <row r="4" spans="1:12" x14ac:dyDescent="0.2">
      <c r="A4" t="s">
        <v>45</v>
      </c>
      <c r="B4" s="21" t="s">
        <v>86</v>
      </c>
      <c r="C4" s="1" t="s">
        <v>7</v>
      </c>
      <c r="D4" s="1" t="s">
        <v>101</v>
      </c>
      <c r="E4" s="1" t="s">
        <v>82</v>
      </c>
      <c r="F4" s="1" t="s">
        <v>8</v>
      </c>
      <c r="G4" s="1">
        <v>10000</v>
      </c>
      <c r="H4" s="1" t="s">
        <v>76</v>
      </c>
      <c r="I4" s="1" t="s">
        <v>106</v>
      </c>
      <c r="J4" s="1">
        <v>0.5</v>
      </c>
      <c r="K4">
        <v>2011</v>
      </c>
      <c r="L4" s="1">
        <v>2024</v>
      </c>
    </row>
    <row r="5" spans="1:12" x14ac:dyDescent="0.2">
      <c r="A5" t="s">
        <v>45</v>
      </c>
      <c r="B5" s="21" t="s">
        <v>10</v>
      </c>
      <c r="C5" s="1" t="s">
        <v>11</v>
      </c>
      <c r="D5" s="1" t="s">
        <v>53</v>
      </c>
      <c r="E5" s="1" t="s">
        <v>15</v>
      </c>
      <c r="F5" s="1" t="s">
        <v>16</v>
      </c>
      <c r="G5" s="1">
        <v>10000</v>
      </c>
      <c r="H5" s="1" t="s">
        <v>77</v>
      </c>
      <c r="I5" s="1" t="s">
        <v>109</v>
      </c>
      <c r="J5" s="1">
        <v>0.5</v>
      </c>
      <c r="K5" t="s">
        <v>83</v>
      </c>
      <c r="L5" t="s">
        <v>84</v>
      </c>
    </row>
    <row r="6" spans="1:12" x14ac:dyDescent="0.2">
      <c r="A6" t="s">
        <v>47</v>
      </c>
      <c r="B6" s="21" t="s">
        <v>13</v>
      </c>
      <c r="C6" s="1" t="s">
        <v>93</v>
      </c>
      <c r="D6" s="1" t="s">
        <v>51</v>
      </c>
      <c r="E6" s="1" t="s">
        <v>20</v>
      </c>
      <c r="F6" s="1" t="s">
        <v>17</v>
      </c>
      <c r="G6" s="1">
        <v>10000</v>
      </c>
      <c r="H6" s="1" t="s">
        <v>77</v>
      </c>
      <c r="I6" s="1" t="s">
        <v>115</v>
      </c>
      <c r="J6" s="1">
        <v>0.5</v>
      </c>
      <c r="K6">
        <v>1992</v>
      </c>
      <c r="L6" t="s">
        <v>85</v>
      </c>
    </row>
    <row r="7" spans="1:12" x14ac:dyDescent="0.2">
      <c r="A7" t="s">
        <v>48</v>
      </c>
      <c r="B7" s="21" t="s">
        <v>14</v>
      </c>
      <c r="C7" s="1" t="s">
        <v>94</v>
      </c>
      <c r="D7" s="1" t="s">
        <v>52</v>
      </c>
      <c r="E7" s="1" t="s">
        <v>18</v>
      </c>
      <c r="F7" s="1" t="s">
        <v>16</v>
      </c>
      <c r="G7" s="1">
        <v>10000</v>
      </c>
      <c r="H7" s="1" t="s">
        <v>77</v>
      </c>
      <c r="I7" s="1" t="s">
        <v>111</v>
      </c>
      <c r="J7" s="1">
        <v>0.5</v>
      </c>
      <c r="K7">
        <v>2009</v>
      </c>
      <c r="L7">
        <v>2011</v>
      </c>
    </row>
    <row r="10" spans="1:12" x14ac:dyDescent="0.2">
      <c r="A10" t="s">
        <v>60</v>
      </c>
      <c r="B10" s="27" t="s">
        <v>57</v>
      </c>
      <c r="C10" s="1" t="s">
        <v>7</v>
      </c>
      <c r="D10" s="1" t="s">
        <v>58</v>
      </c>
      <c r="E10" s="1" t="s">
        <v>59</v>
      </c>
      <c r="F10" s="1" t="s">
        <v>9</v>
      </c>
      <c r="G10" s="1">
        <v>10000</v>
      </c>
      <c r="H10" s="1" t="s">
        <v>77</v>
      </c>
      <c r="I10" s="1" t="s">
        <v>78</v>
      </c>
      <c r="J10" s="1">
        <v>0.5</v>
      </c>
    </row>
    <row r="11" spans="1:12" x14ac:dyDescent="0.2">
      <c r="A11" t="s">
        <v>46</v>
      </c>
      <c r="B11" s="26" t="s">
        <v>12</v>
      </c>
      <c r="C11" s="1" t="s">
        <v>7</v>
      </c>
      <c r="D11" s="1" t="s">
        <v>50</v>
      </c>
      <c r="E11" s="1" t="s">
        <v>19</v>
      </c>
      <c r="F11" s="1" t="s">
        <v>17</v>
      </c>
      <c r="G11" s="1">
        <v>10000</v>
      </c>
      <c r="H11" s="19" t="s">
        <v>96</v>
      </c>
      <c r="I11" s="1" t="s">
        <v>72</v>
      </c>
      <c r="J11" s="1">
        <v>0.5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3C27-3D26-44B0-A647-FB7523B0AD06}">
  <dimension ref="A1:T105"/>
  <sheetViews>
    <sheetView topLeftCell="A27" zoomScale="80" zoomScaleNormal="80" workbookViewId="0">
      <selection activeCell="B16" sqref="B16:E16"/>
    </sheetView>
  </sheetViews>
  <sheetFormatPr baseColWidth="10" defaultColWidth="8.83203125" defaultRowHeight="15" x14ac:dyDescent="0.2"/>
  <sheetData>
    <row r="1" spans="1:20" x14ac:dyDescent="0.2">
      <c r="A1" s="3" t="s">
        <v>89</v>
      </c>
      <c r="D1" s="33" t="s">
        <v>90</v>
      </c>
      <c r="E1" s="33"/>
    </row>
    <row r="2" spans="1:20" x14ac:dyDescent="0.2">
      <c r="G2" s="3" t="s">
        <v>119</v>
      </c>
      <c r="L2" s="3" t="s">
        <v>37</v>
      </c>
      <c r="Q2" s="3" t="s">
        <v>38</v>
      </c>
    </row>
    <row r="3" spans="1:20" x14ac:dyDescent="0.2">
      <c r="A3" s="4"/>
      <c r="B3" s="42" t="s">
        <v>118</v>
      </c>
      <c r="C3" s="42"/>
      <c r="D3" s="42"/>
      <c r="E3" s="42"/>
    </row>
    <row r="4" spans="1:20" ht="48" x14ac:dyDescent="0.2">
      <c r="A4" s="5" t="s">
        <v>21</v>
      </c>
      <c r="B4" s="13" t="s">
        <v>22</v>
      </c>
      <c r="C4" s="32" t="s">
        <v>9</v>
      </c>
      <c r="D4" s="32" t="s">
        <v>23</v>
      </c>
      <c r="E4" s="32" t="s">
        <v>24</v>
      </c>
      <c r="G4" s="13" t="s">
        <v>22</v>
      </c>
      <c r="H4" s="32" t="s">
        <v>9</v>
      </c>
      <c r="I4" s="32" t="s">
        <v>23</v>
      </c>
      <c r="J4" s="32" t="s">
        <v>24</v>
      </c>
      <c r="L4" s="5" t="s">
        <v>22</v>
      </c>
      <c r="M4" s="5" t="s">
        <v>9</v>
      </c>
      <c r="N4" s="5" t="s">
        <v>23</v>
      </c>
      <c r="O4" s="5" t="s">
        <v>24</v>
      </c>
      <c r="Q4" s="5" t="s">
        <v>22</v>
      </c>
      <c r="R4" s="5" t="s">
        <v>9</v>
      </c>
      <c r="S4" s="5" t="s">
        <v>23</v>
      </c>
      <c r="T4" s="5" t="s">
        <v>24</v>
      </c>
    </row>
    <row r="5" spans="1:20" x14ac:dyDescent="0.2">
      <c r="A5" s="1">
        <v>2011</v>
      </c>
      <c r="B5" s="12">
        <v>19.7</v>
      </c>
      <c r="C5">
        <v>1.2</v>
      </c>
      <c r="D5">
        <v>2.2000000000000002</v>
      </c>
      <c r="E5">
        <v>16.3</v>
      </c>
      <c r="G5" s="12">
        <v>19.700000000000031</v>
      </c>
      <c r="H5">
        <v>1.2</v>
      </c>
      <c r="I5">
        <v>2.2000000000000002</v>
      </c>
      <c r="J5">
        <v>16.3</v>
      </c>
      <c r="L5">
        <f>100-((B5/G5)*100)</f>
        <v>1.7053025658242404E-13</v>
      </c>
      <c r="M5">
        <f>100-((C5/H5)*100)</f>
        <v>0</v>
      </c>
      <c r="N5">
        <f>100-((D5/I5)*100)</f>
        <v>0</v>
      </c>
      <c r="O5">
        <f>100-((E5/J5)*100)</f>
        <v>0</v>
      </c>
      <c r="Q5">
        <f>L5/20</f>
        <v>8.5265128291212019E-15</v>
      </c>
      <c r="R5">
        <f>M5/20</f>
        <v>0</v>
      </c>
      <c r="S5">
        <f>N5/20</f>
        <v>0</v>
      </c>
      <c r="T5">
        <f>O5/20</f>
        <v>0</v>
      </c>
    </row>
    <row r="6" spans="1:20" x14ac:dyDescent="0.2">
      <c r="A6" s="1">
        <v>2012</v>
      </c>
      <c r="B6" s="12">
        <v>20.05</v>
      </c>
      <c r="C6">
        <v>1.265231</v>
      </c>
      <c r="D6">
        <v>2.2660969999999998</v>
      </c>
      <c r="E6">
        <v>16.501719999999999</v>
      </c>
      <c r="G6" s="12">
        <v>20.57</v>
      </c>
      <c r="H6">
        <v>1.261665</v>
      </c>
      <c r="I6">
        <v>2.267989</v>
      </c>
      <c r="J6">
        <v>17.047357000000002</v>
      </c>
      <c r="L6">
        <f t="shared" ref="L6:L16" si="0">100-((B6/G6)*100)</f>
        <v>2.5279533300923731</v>
      </c>
      <c r="M6">
        <f t="shared" ref="M6:M16" si="1">100-((C6/H6)*100)</f>
        <v>-0.28264238129771968</v>
      </c>
      <c r="N6">
        <f t="shared" ref="N6:N16" si="2">100-((D6/I6)*100)</f>
        <v>8.3421921358535656E-2</v>
      </c>
      <c r="O6">
        <f t="shared" ref="O6:O16" si="3">100-((E6/J6)*100)</f>
        <v>3.2007131662697219</v>
      </c>
      <c r="Q6">
        <f t="shared" ref="Q6:Q16" si="4">L6/20</f>
        <v>0.12639766650461864</v>
      </c>
      <c r="R6">
        <f t="shared" ref="R6:R16" si="5">M6/20</f>
        <v>-1.4132119064885984E-2</v>
      </c>
      <c r="S6">
        <f t="shared" ref="S6:S16" si="6">N6/20</f>
        <v>4.1710960679267831E-3</v>
      </c>
      <c r="T6">
        <f t="shared" ref="T6:T16" si="7">O6/20</f>
        <v>0.1600356583134861</v>
      </c>
    </row>
    <row r="7" spans="1:20" x14ac:dyDescent="0.2">
      <c r="A7" s="1">
        <v>2013</v>
      </c>
      <c r="B7" s="12">
        <v>20.99</v>
      </c>
      <c r="C7">
        <v>1.430596</v>
      </c>
      <c r="D7">
        <v>2.3696220000000001</v>
      </c>
      <c r="E7">
        <v>16.968012000000002</v>
      </c>
      <c r="G7" s="12">
        <v>21.71</v>
      </c>
      <c r="H7">
        <v>1.4724299999999999</v>
      </c>
      <c r="I7">
        <v>2.3802129999999999</v>
      </c>
      <c r="J7">
        <v>17.859786</v>
      </c>
      <c r="L7">
        <f t="shared" si="0"/>
        <v>3.31644403500691</v>
      </c>
      <c r="M7">
        <f t="shared" si="1"/>
        <v>2.841153739057205</v>
      </c>
      <c r="N7">
        <f t="shared" si="2"/>
        <v>0.44496017793365183</v>
      </c>
      <c r="O7">
        <f t="shared" si="3"/>
        <v>4.9931953272004392</v>
      </c>
      <c r="Q7">
        <f t="shared" si="4"/>
        <v>0.16582220175034551</v>
      </c>
      <c r="R7">
        <f t="shared" si="5"/>
        <v>0.14205768695286025</v>
      </c>
      <c r="S7">
        <f t="shared" si="6"/>
        <v>2.2248008896682592E-2</v>
      </c>
      <c r="T7">
        <f t="shared" si="7"/>
        <v>0.24965976636002196</v>
      </c>
    </row>
    <row r="8" spans="1:20" x14ac:dyDescent="0.2">
      <c r="A8" s="1">
        <v>2014</v>
      </c>
      <c r="B8" s="12">
        <v>21.85</v>
      </c>
      <c r="C8">
        <v>1.761155</v>
      </c>
      <c r="D8">
        <v>2.5096639999999999</v>
      </c>
      <c r="E8">
        <v>17.545867000000001</v>
      </c>
      <c r="G8" s="12">
        <v>23.2</v>
      </c>
      <c r="H8">
        <v>1.9173709999999999</v>
      </c>
      <c r="I8">
        <v>2.515911</v>
      </c>
      <c r="J8">
        <v>18.773381000000001</v>
      </c>
      <c r="L8">
        <f t="shared" si="0"/>
        <v>5.8189655172413666</v>
      </c>
      <c r="M8">
        <f t="shared" si="1"/>
        <v>8.1474060054105308</v>
      </c>
      <c r="N8">
        <f t="shared" si="2"/>
        <v>0.24829972125405675</v>
      </c>
      <c r="O8">
        <f t="shared" si="3"/>
        <v>6.5385878015259919</v>
      </c>
      <c r="Q8">
        <f t="shared" si="4"/>
        <v>0.29094827586206834</v>
      </c>
      <c r="R8">
        <f t="shared" si="5"/>
        <v>0.40737030027052656</v>
      </c>
      <c r="S8">
        <f t="shared" si="6"/>
        <v>1.2414986062702837E-2</v>
      </c>
      <c r="T8">
        <f t="shared" si="7"/>
        <v>0.32692939007629962</v>
      </c>
    </row>
    <row r="9" spans="1:20" x14ac:dyDescent="0.2">
      <c r="A9" s="1">
        <v>2015</v>
      </c>
      <c r="B9" s="12">
        <v>23.12</v>
      </c>
      <c r="C9">
        <v>2.29013</v>
      </c>
      <c r="D9">
        <v>2.6795339999999999</v>
      </c>
      <c r="E9">
        <v>18.039715000000001</v>
      </c>
      <c r="G9" s="12">
        <v>26.7</v>
      </c>
      <c r="H9">
        <v>2.633143</v>
      </c>
      <c r="I9">
        <v>2.6924090000000001</v>
      </c>
      <c r="J9">
        <v>20.383980000000001</v>
      </c>
      <c r="L9">
        <f t="shared" si="0"/>
        <v>13.408239700374523</v>
      </c>
      <c r="M9">
        <f t="shared" si="1"/>
        <v>13.026751680406264</v>
      </c>
      <c r="N9">
        <f t="shared" si="2"/>
        <v>0.47819629187097235</v>
      </c>
      <c r="O9">
        <f t="shared" si="3"/>
        <v>11.50052639376608</v>
      </c>
      <c r="Q9">
        <f t="shared" si="4"/>
        <v>0.67041198501872612</v>
      </c>
      <c r="R9">
        <f t="shared" si="5"/>
        <v>0.65133758402031317</v>
      </c>
      <c r="S9">
        <f t="shared" si="6"/>
        <v>2.3909814593548618E-2</v>
      </c>
      <c r="T9">
        <f t="shared" si="7"/>
        <v>0.57502631968830398</v>
      </c>
    </row>
    <row r="10" spans="1:20" x14ac:dyDescent="0.2">
      <c r="A10" s="1">
        <v>2016</v>
      </c>
      <c r="B10" s="12"/>
      <c r="C10" t="s">
        <v>120</v>
      </c>
      <c r="D10" t="s">
        <v>120</v>
      </c>
      <c r="E10" t="s">
        <v>120</v>
      </c>
      <c r="G10" s="12"/>
      <c r="H10" s="33"/>
      <c r="I10" s="33"/>
      <c r="J10" s="33"/>
    </row>
    <row r="11" spans="1:20" x14ac:dyDescent="0.2">
      <c r="A11" s="1">
        <v>2017</v>
      </c>
      <c r="B11" s="12"/>
      <c r="G11" s="12"/>
      <c r="H11" s="33"/>
      <c r="I11" s="33"/>
      <c r="J11" s="33"/>
    </row>
    <row r="12" spans="1:20" x14ac:dyDescent="0.2">
      <c r="A12" s="1">
        <v>2018</v>
      </c>
      <c r="B12" s="12">
        <v>29.89</v>
      </c>
      <c r="C12">
        <v>6.0926629999999999</v>
      </c>
      <c r="D12">
        <v>3.4214389999999999</v>
      </c>
      <c r="E12">
        <v>21.234466000000001</v>
      </c>
      <c r="G12" s="12">
        <v>34.9</v>
      </c>
      <c r="H12">
        <v>7.498437</v>
      </c>
      <c r="I12">
        <v>3.6885940000000002</v>
      </c>
      <c r="J12">
        <v>23.717151999999999</v>
      </c>
      <c r="L12">
        <f t="shared" si="0"/>
        <v>14.355300859598856</v>
      </c>
      <c r="M12">
        <f t="shared" si="1"/>
        <v>18.747560324905038</v>
      </c>
      <c r="N12">
        <f t="shared" si="2"/>
        <v>7.2427325967563831</v>
      </c>
      <c r="O12">
        <f t="shared" si="3"/>
        <v>10.467892603631327</v>
      </c>
      <c r="Q12">
        <f t="shared" si="4"/>
        <v>0.71776504297994281</v>
      </c>
      <c r="R12">
        <f t="shared" si="5"/>
        <v>0.93737801624525185</v>
      </c>
      <c r="S12">
        <f t="shared" si="6"/>
        <v>0.36213662983781914</v>
      </c>
      <c r="T12">
        <f t="shared" si="7"/>
        <v>0.5233946301815664</v>
      </c>
    </row>
    <row r="13" spans="1:20" x14ac:dyDescent="0.2">
      <c r="A13" s="1">
        <v>2019</v>
      </c>
      <c r="B13" s="12">
        <v>32.71</v>
      </c>
      <c r="C13">
        <v>8.0459759999999996</v>
      </c>
      <c r="D13">
        <v>3.6873420000000001</v>
      </c>
      <c r="E13">
        <v>21.999669000000001</v>
      </c>
      <c r="G13" s="12">
        <v>39.06</v>
      </c>
      <c r="H13">
        <v>9.9496199999999995</v>
      </c>
      <c r="I13">
        <v>4.0472409999999996</v>
      </c>
      <c r="J13">
        <v>25.068635</v>
      </c>
      <c r="L13">
        <f t="shared" si="0"/>
        <v>16.257040450588846</v>
      </c>
      <c r="M13">
        <f t="shared" si="1"/>
        <v>19.132831203603757</v>
      </c>
      <c r="N13">
        <f t="shared" si="2"/>
        <v>8.8924529080427845</v>
      </c>
      <c r="O13">
        <f t="shared" si="3"/>
        <v>12.242254115551162</v>
      </c>
      <c r="Q13">
        <f t="shared" si="4"/>
        <v>0.81285202252944233</v>
      </c>
      <c r="R13">
        <f t="shared" si="5"/>
        <v>0.95664156018018787</v>
      </c>
      <c r="S13">
        <f t="shared" si="6"/>
        <v>0.44462264540213925</v>
      </c>
      <c r="T13">
        <f t="shared" si="7"/>
        <v>0.61211270577755816</v>
      </c>
    </row>
    <row r="14" spans="1:20" x14ac:dyDescent="0.2">
      <c r="A14" s="1">
        <v>2020</v>
      </c>
      <c r="B14" s="12">
        <v>35.83</v>
      </c>
      <c r="C14">
        <v>10.344075</v>
      </c>
      <c r="D14">
        <v>3.949732</v>
      </c>
      <c r="E14">
        <v>22.997731999999999</v>
      </c>
      <c r="G14" s="12">
        <v>43.56</v>
      </c>
      <c r="H14">
        <v>12.73259</v>
      </c>
      <c r="I14">
        <v>4.3723159999999996</v>
      </c>
      <c r="J14">
        <v>26.462204</v>
      </c>
      <c r="L14">
        <f t="shared" si="0"/>
        <v>17.745638200183663</v>
      </c>
      <c r="M14">
        <f>100-((C14/H14)*100)</f>
        <v>18.759066301514466</v>
      </c>
      <c r="N14">
        <f t="shared" si="2"/>
        <v>9.664992191781181</v>
      </c>
      <c r="O14">
        <f t="shared" si="3"/>
        <v>13.092152112499775</v>
      </c>
      <c r="Q14">
        <f t="shared" si="4"/>
        <v>0.88728191000918311</v>
      </c>
      <c r="R14">
        <f t="shared" si="5"/>
        <v>0.93795331507572333</v>
      </c>
      <c r="S14">
        <f t="shared" si="6"/>
        <v>0.48324960958905905</v>
      </c>
      <c r="T14">
        <f t="shared" si="7"/>
        <v>0.65460760562498876</v>
      </c>
    </row>
    <row r="15" spans="1:20" x14ac:dyDescent="0.2">
      <c r="A15" s="1">
        <v>2021</v>
      </c>
      <c r="B15" s="12">
        <v>39.43</v>
      </c>
      <c r="C15">
        <v>12.931699</v>
      </c>
      <c r="D15">
        <v>4.1932130000000001</v>
      </c>
      <c r="E15">
        <v>23.579702999999999</v>
      </c>
      <c r="G15" s="12">
        <v>47.57</v>
      </c>
      <c r="H15">
        <v>15.648707</v>
      </c>
      <c r="I15">
        <v>4.6812120000000004</v>
      </c>
      <c r="J15">
        <v>27.246797999999998</v>
      </c>
      <c r="L15">
        <f t="shared" si="0"/>
        <v>17.11162497372294</v>
      </c>
      <c r="M15">
        <f t="shared" si="1"/>
        <v>17.362507969508272</v>
      </c>
      <c r="N15">
        <f t="shared" si="2"/>
        <v>10.424629348126089</v>
      </c>
      <c r="O15">
        <f t="shared" si="3"/>
        <v>13.458810829808328</v>
      </c>
      <c r="Q15">
        <f t="shared" si="4"/>
        <v>0.85558124868614693</v>
      </c>
      <c r="R15">
        <f t="shared" si="5"/>
        <v>0.86812539847541359</v>
      </c>
      <c r="S15">
        <f t="shared" si="6"/>
        <v>0.52123146740630444</v>
      </c>
      <c r="T15">
        <f t="shared" si="7"/>
        <v>0.67294054149041638</v>
      </c>
    </row>
    <row r="16" spans="1:20" x14ac:dyDescent="0.2">
      <c r="A16" s="1">
        <v>2022</v>
      </c>
      <c r="B16" s="12">
        <v>43.01</v>
      </c>
      <c r="C16">
        <v>15.779876</v>
      </c>
      <c r="D16">
        <v>4.4198760000000004</v>
      </c>
      <c r="E16">
        <v>23.880011</v>
      </c>
      <c r="G16" s="12">
        <v>51.8</v>
      </c>
      <c r="H16">
        <v>18.63176</v>
      </c>
      <c r="I16">
        <v>4.9705050000000002</v>
      </c>
      <c r="J16">
        <v>28.203012000000001</v>
      </c>
      <c r="L16">
        <f t="shared" si="0"/>
        <v>16.969111969111978</v>
      </c>
      <c r="M16">
        <f t="shared" si="1"/>
        <v>15.306573292056143</v>
      </c>
      <c r="N16">
        <f t="shared" si="2"/>
        <v>11.077928701409618</v>
      </c>
      <c r="O16">
        <f t="shared" si="3"/>
        <v>15.328153602884683</v>
      </c>
      <c r="Q16" s="9">
        <f t="shared" si="4"/>
        <v>0.84845559845559892</v>
      </c>
      <c r="R16" s="9">
        <f t="shared" si="5"/>
        <v>0.76532866460280713</v>
      </c>
      <c r="S16" s="9">
        <f t="shared" si="6"/>
        <v>0.55389643507048092</v>
      </c>
      <c r="T16" s="9">
        <f t="shared" si="7"/>
        <v>0.7664076801442341</v>
      </c>
    </row>
    <row r="18" spans="1:20" x14ac:dyDescent="0.2">
      <c r="G18" s="3" t="s">
        <v>102</v>
      </c>
      <c r="L18" s="3" t="s">
        <v>37</v>
      </c>
      <c r="Q18" s="3" t="s">
        <v>38</v>
      </c>
    </row>
    <row r="19" spans="1:20" x14ac:dyDescent="0.2">
      <c r="A19" s="1">
        <v>2011</v>
      </c>
      <c r="B19" s="12">
        <v>19.7</v>
      </c>
      <c r="C19">
        <v>1.2</v>
      </c>
      <c r="D19">
        <v>2.2000000000000002</v>
      </c>
      <c r="E19">
        <v>16.3</v>
      </c>
      <c r="G19">
        <v>19.7</v>
      </c>
      <c r="H19">
        <v>1.2</v>
      </c>
      <c r="I19">
        <v>2.2000000000000002</v>
      </c>
      <c r="J19">
        <v>16.3</v>
      </c>
      <c r="L19">
        <f>100-((B19/G19)*100)</f>
        <v>0</v>
      </c>
      <c r="M19">
        <f>100-((C19/H19)*100)</f>
        <v>0</v>
      </c>
      <c r="N19">
        <f>100-((D19/I19)*100)</f>
        <v>0</v>
      </c>
      <c r="O19">
        <f>100-((E19/J19)*100)</f>
        <v>0</v>
      </c>
      <c r="Q19">
        <f>L19/20</f>
        <v>0</v>
      </c>
      <c r="R19">
        <f>M19/20</f>
        <v>0</v>
      </c>
      <c r="S19">
        <f>N19/20</f>
        <v>0</v>
      </c>
      <c r="T19">
        <f>O19/20</f>
        <v>0</v>
      </c>
    </row>
    <row r="20" spans="1:20" x14ac:dyDescent="0.2">
      <c r="A20" s="1">
        <v>2012</v>
      </c>
      <c r="B20" s="12">
        <v>20.05</v>
      </c>
      <c r="C20">
        <v>1.265231</v>
      </c>
      <c r="D20">
        <v>2.2660969999999998</v>
      </c>
      <c r="E20">
        <v>16.501719999999999</v>
      </c>
      <c r="G20">
        <v>20.316901999999999</v>
      </c>
      <c r="H20">
        <v>1.3011239999999999</v>
      </c>
      <c r="I20">
        <v>2.3123239999999998</v>
      </c>
      <c r="J20">
        <v>16.703454000000001</v>
      </c>
      <c r="L20">
        <f t="shared" ref="L20:L30" si="8">100-((B20/G20)*100)</f>
        <v>1.3136943811610564</v>
      </c>
      <c r="M20">
        <f t="shared" ref="M20:M30" si="9">100-((C20/H20)*100)</f>
        <v>2.7586148591525443</v>
      </c>
      <c r="N20">
        <f t="shared" ref="N20:N30" si="10">100-((D20/I20)*100)</f>
        <v>1.9991575575049154</v>
      </c>
      <c r="O20">
        <f t="shared" ref="O20:O30" si="11">100-((E20/J20)*100)</f>
        <v>1.2077382318651075</v>
      </c>
      <c r="Q20">
        <f t="shared" ref="Q20:Q30" si="12">L20/20</f>
        <v>6.5684719058052815E-2</v>
      </c>
      <c r="R20">
        <f t="shared" ref="R20:R30" si="13">M20/20</f>
        <v>0.13793074295762722</v>
      </c>
      <c r="S20">
        <f t="shared" ref="S20:S30" si="14">N20/20</f>
        <v>9.9957877875245765E-2</v>
      </c>
      <c r="T20">
        <f t="shared" ref="T20:T30" si="15">O20/20</f>
        <v>6.0386911593255377E-2</v>
      </c>
    </row>
    <row r="21" spans="1:20" x14ac:dyDescent="0.2">
      <c r="A21" s="1">
        <v>2013</v>
      </c>
      <c r="B21" s="12">
        <v>20.99</v>
      </c>
      <c r="C21">
        <v>1.430596</v>
      </c>
      <c r="D21">
        <v>2.3696220000000001</v>
      </c>
      <c r="E21">
        <v>16.968012000000002</v>
      </c>
      <c r="G21">
        <v>21.329018999999999</v>
      </c>
      <c r="H21">
        <v>1.5886800000000001</v>
      </c>
      <c r="I21">
        <v>2.4762789999999999</v>
      </c>
      <c r="J21">
        <v>17.264060000000001</v>
      </c>
      <c r="L21">
        <f t="shared" si="8"/>
        <v>1.5894730085804696</v>
      </c>
      <c r="M21">
        <f t="shared" si="9"/>
        <v>9.9506508547977006</v>
      </c>
      <c r="N21">
        <f t="shared" si="10"/>
        <v>4.3071479425379664</v>
      </c>
      <c r="O21">
        <f t="shared" si="11"/>
        <v>1.7148225851856438</v>
      </c>
      <c r="Q21">
        <f t="shared" si="12"/>
        <v>7.9473650429023476E-2</v>
      </c>
      <c r="R21">
        <f t="shared" si="13"/>
        <v>0.49753254273988501</v>
      </c>
      <c r="S21">
        <f t="shared" si="14"/>
        <v>0.21535739712689833</v>
      </c>
      <c r="T21">
        <f t="shared" si="15"/>
        <v>8.5741129259282192E-2</v>
      </c>
    </row>
    <row r="22" spans="1:20" x14ac:dyDescent="0.2">
      <c r="A22" s="1">
        <v>2014</v>
      </c>
      <c r="B22" s="12">
        <v>21.85</v>
      </c>
      <c r="C22">
        <v>1.761155</v>
      </c>
      <c r="D22">
        <v>2.5096639999999999</v>
      </c>
      <c r="E22">
        <v>17.545867000000001</v>
      </c>
      <c r="G22">
        <v>22.654418</v>
      </c>
      <c r="H22">
        <v>2.1577920000000002</v>
      </c>
      <c r="I22">
        <v>2.722442</v>
      </c>
      <c r="J22">
        <v>17.774184000000002</v>
      </c>
      <c r="L22">
        <f t="shared" si="8"/>
        <v>3.5508217425846027</v>
      </c>
      <c r="M22">
        <f t="shared" si="9"/>
        <v>18.381614168557491</v>
      </c>
      <c r="N22">
        <f t="shared" si="10"/>
        <v>7.8157036954322621</v>
      </c>
      <c r="O22">
        <f t="shared" si="11"/>
        <v>1.2845427953260753</v>
      </c>
      <c r="Q22">
        <f t="shared" si="12"/>
        <v>0.17754108712923014</v>
      </c>
      <c r="R22">
        <f t="shared" si="13"/>
        <v>0.91908070842787448</v>
      </c>
      <c r="S22">
        <f t="shared" si="14"/>
        <v>0.39078518477161311</v>
      </c>
      <c r="T22">
        <f t="shared" si="15"/>
        <v>6.4227139766303759E-2</v>
      </c>
    </row>
    <row r="23" spans="1:20" x14ac:dyDescent="0.2">
      <c r="A23" s="1">
        <v>2015</v>
      </c>
      <c r="B23" s="12">
        <v>23.13</v>
      </c>
      <c r="C23">
        <v>2.29013</v>
      </c>
      <c r="D23">
        <v>2.6795339999999999</v>
      </c>
      <c r="E23">
        <v>18.039715000000001</v>
      </c>
      <c r="G23">
        <v>24.705331999999999</v>
      </c>
      <c r="H23">
        <v>3.0780400000000001</v>
      </c>
      <c r="I23">
        <v>3.013509</v>
      </c>
      <c r="J23">
        <v>18.613783000000002</v>
      </c>
      <c r="L23">
        <f t="shared" si="8"/>
        <v>6.3764858533372433</v>
      </c>
      <c r="M23">
        <f t="shared" si="9"/>
        <v>25.597783004769269</v>
      </c>
      <c r="N23">
        <f t="shared" si="10"/>
        <v>11.08259507438008</v>
      </c>
      <c r="O23">
        <f t="shared" si="11"/>
        <v>3.0841017110815159</v>
      </c>
      <c r="Q23">
        <f t="shared" si="12"/>
        <v>0.31882429266686219</v>
      </c>
      <c r="R23">
        <f t="shared" si="13"/>
        <v>1.2798891502384635</v>
      </c>
      <c r="S23">
        <f t="shared" si="14"/>
        <v>0.55412975371900397</v>
      </c>
      <c r="T23">
        <f t="shared" si="15"/>
        <v>0.1542050855540758</v>
      </c>
    </row>
    <row r="24" spans="1:20" x14ac:dyDescent="0.2">
      <c r="A24" s="1">
        <v>2016</v>
      </c>
      <c r="B24" s="12"/>
      <c r="C24" t="s">
        <v>120</v>
      </c>
      <c r="D24" t="s">
        <v>120</v>
      </c>
      <c r="E24" t="s">
        <v>120</v>
      </c>
      <c r="G24" t="s">
        <v>120</v>
      </c>
      <c r="H24" t="s">
        <v>120</v>
      </c>
      <c r="I24" t="s">
        <v>120</v>
      </c>
      <c r="J24" t="s">
        <v>120</v>
      </c>
      <c r="Q24">
        <f t="shared" si="12"/>
        <v>0</v>
      </c>
      <c r="R24">
        <f t="shared" si="13"/>
        <v>0</v>
      </c>
      <c r="S24">
        <f t="shared" si="14"/>
        <v>0</v>
      </c>
      <c r="T24">
        <f t="shared" si="15"/>
        <v>0</v>
      </c>
    </row>
    <row r="25" spans="1:20" x14ac:dyDescent="0.2">
      <c r="A25" s="1">
        <v>2017</v>
      </c>
      <c r="B25" s="12"/>
      <c r="Q25">
        <f t="shared" si="12"/>
        <v>0</v>
      </c>
      <c r="R25">
        <f t="shared" si="13"/>
        <v>0</v>
      </c>
      <c r="S25">
        <f t="shared" si="14"/>
        <v>0</v>
      </c>
      <c r="T25">
        <f t="shared" si="15"/>
        <v>0</v>
      </c>
    </row>
    <row r="26" spans="1:20" x14ac:dyDescent="0.2">
      <c r="A26" s="1">
        <v>2018</v>
      </c>
      <c r="B26" s="12">
        <v>29.89</v>
      </c>
      <c r="C26">
        <v>6.0926629999999999</v>
      </c>
      <c r="D26">
        <v>3.4214389999999999</v>
      </c>
      <c r="E26">
        <v>21.234466000000001</v>
      </c>
      <c r="G26">
        <v>38.794139999999999</v>
      </c>
      <c r="H26">
        <v>8.103135</v>
      </c>
      <c r="I26">
        <v>4.4533860000000001</v>
      </c>
      <c r="J26">
        <v>26.237618999999999</v>
      </c>
      <c r="L26">
        <f t="shared" si="8"/>
        <v>22.952280937275575</v>
      </c>
      <c r="M26">
        <f t="shared" si="9"/>
        <v>24.81103918421698</v>
      </c>
      <c r="N26">
        <f t="shared" si="10"/>
        <v>23.172188532500897</v>
      </c>
      <c r="O26">
        <f t="shared" si="11"/>
        <v>19.06862432905973</v>
      </c>
      <c r="Q26">
        <f t="shared" si="12"/>
        <v>1.1476140468637788</v>
      </c>
      <c r="R26">
        <f t="shared" si="13"/>
        <v>1.2405519592108489</v>
      </c>
      <c r="S26">
        <f t="shared" si="14"/>
        <v>1.1586094266250448</v>
      </c>
      <c r="T26">
        <f t="shared" si="15"/>
        <v>0.95343121645298656</v>
      </c>
    </row>
    <row r="27" spans="1:20" x14ac:dyDescent="0.2">
      <c r="A27" s="1">
        <v>2019</v>
      </c>
      <c r="B27" s="12">
        <v>32.71</v>
      </c>
      <c r="C27">
        <v>8.0459759999999996</v>
      </c>
      <c r="D27">
        <v>3.6873420000000001</v>
      </c>
      <c r="E27">
        <v>21.999669000000001</v>
      </c>
      <c r="G27">
        <v>42.723489999999998</v>
      </c>
      <c r="H27">
        <v>10.542942999999999</v>
      </c>
      <c r="I27">
        <v>4.8749979999999997</v>
      </c>
      <c r="J27">
        <v>27.305548999999999</v>
      </c>
      <c r="L27">
        <f t="shared" si="8"/>
        <v>23.437902661978214</v>
      </c>
      <c r="M27">
        <f t="shared" si="9"/>
        <v>23.683775962745884</v>
      </c>
      <c r="N27">
        <f t="shared" si="10"/>
        <v>24.362184353716657</v>
      </c>
      <c r="O27">
        <f t="shared" si="11"/>
        <v>19.43150822567236</v>
      </c>
      <c r="Q27">
        <f t="shared" si="12"/>
        <v>1.1718951330989107</v>
      </c>
      <c r="R27">
        <f t="shared" si="13"/>
        <v>1.1841887981372943</v>
      </c>
      <c r="S27">
        <f t="shared" si="14"/>
        <v>1.2181092176858328</v>
      </c>
      <c r="T27">
        <f t="shared" si="15"/>
        <v>0.97157541128361802</v>
      </c>
    </row>
    <row r="28" spans="1:20" x14ac:dyDescent="0.2">
      <c r="A28" s="1">
        <v>2020</v>
      </c>
      <c r="B28" s="12">
        <v>35.83</v>
      </c>
      <c r="C28">
        <v>10.344075</v>
      </c>
      <c r="D28">
        <v>3.949732</v>
      </c>
      <c r="E28">
        <v>22.997731999999999</v>
      </c>
      <c r="G28">
        <v>46.619740999999998</v>
      </c>
      <c r="H28">
        <v>13.267948000000001</v>
      </c>
      <c r="I28">
        <v>5.2714549999999996</v>
      </c>
      <c r="J28">
        <v>28.080338999999999</v>
      </c>
      <c r="L28">
        <f t="shared" si="8"/>
        <v>23.144146167607403</v>
      </c>
      <c r="M28">
        <f t="shared" si="9"/>
        <v>22.037115309767572</v>
      </c>
      <c r="N28">
        <f t="shared" si="10"/>
        <v>25.073210337563339</v>
      </c>
      <c r="O28">
        <f t="shared" si="11"/>
        <v>18.100233761422885</v>
      </c>
      <c r="Q28">
        <f t="shared" si="12"/>
        <v>1.1572073083803702</v>
      </c>
      <c r="R28">
        <f t="shared" si="13"/>
        <v>1.1018557654883785</v>
      </c>
      <c r="S28">
        <f t="shared" si="14"/>
        <v>1.2536605168781669</v>
      </c>
      <c r="T28">
        <f t="shared" si="15"/>
        <v>0.90501168807114429</v>
      </c>
    </row>
    <row r="29" spans="1:20" x14ac:dyDescent="0.2">
      <c r="A29" s="1">
        <v>2021</v>
      </c>
      <c r="B29" s="12">
        <v>39.43</v>
      </c>
      <c r="C29">
        <v>12.931699</v>
      </c>
      <c r="D29">
        <v>4.1932130000000001</v>
      </c>
      <c r="E29">
        <v>23.579702999999999</v>
      </c>
      <c r="G29">
        <v>50.426020000000001</v>
      </c>
      <c r="H29">
        <v>16.176091</v>
      </c>
      <c r="I29">
        <v>5.627777</v>
      </c>
      <c r="J29">
        <v>28.622152</v>
      </c>
      <c r="L29">
        <f t="shared" si="8"/>
        <v>21.806242094854994</v>
      </c>
      <c r="M29">
        <f t="shared" si="9"/>
        <v>20.056712094411438</v>
      </c>
      <c r="N29">
        <f t="shared" si="10"/>
        <v>25.490775487372716</v>
      </c>
      <c r="O29">
        <f t="shared" si="11"/>
        <v>17.617295163550253</v>
      </c>
      <c r="Q29">
        <f t="shared" si="12"/>
        <v>1.0903121047427498</v>
      </c>
      <c r="R29">
        <f t="shared" si="13"/>
        <v>1.002835604720572</v>
      </c>
      <c r="S29">
        <f t="shared" si="14"/>
        <v>1.2745387743686358</v>
      </c>
      <c r="T29">
        <f t="shared" si="15"/>
        <v>0.88086475817751264</v>
      </c>
    </row>
    <row r="30" spans="1:20" x14ac:dyDescent="0.2">
      <c r="A30" s="1">
        <v>2022</v>
      </c>
      <c r="B30" s="12">
        <v>43.01</v>
      </c>
      <c r="C30">
        <v>15.779876</v>
      </c>
      <c r="D30">
        <v>4.4198760000000004</v>
      </c>
      <c r="E30">
        <v>23.880011</v>
      </c>
      <c r="G30">
        <v>54.309747000000002</v>
      </c>
      <c r="H30">
        <v>19.127475</v>
      </c>
      <c r="I30">
        <v>5.962898</v>
      </c>
      <c r="J30">
        <v>29.219373999999998</v>
      </c>
      <c r="L30">
        <f t="shared" si="8"/>
        <v>20.806112390838422</v>
      </c>
      <c r="M30">
        <f t="shared" si="9"/>
        <v>17.501520718233849</v>
      </c>
      <c r="N30">
        <f t="shared" si="10"/>
        <v>25.87704837480031</v>
      </c>
      <c r="O30">
        <f t="shared" si="11"/>
        <v>18.273365473195966</v>
      </c>
      <c r="Q30" s="9">
        <f t="shared" si="12"/>
        <v>1.0403056195419211</v>
      </c>
      <c r="R30" s="9">
        <f t="shared" si="13"/>
        <v>0.87507603591169247</v>
      </c>
      <c r="S30" s="9">
        <f t="shared" si="14"/>
        <v>1.2938524187400156</v>
      </c>
      <c r="T30" s="9">
        <f t="shared" si="15"/>
        <v>0.9136682736597983</v>
      </c>
    </row>
    <row r="32" spans="1:20" x14ac:dyDescent="0.2">
      <c r="G32" s="3" t="s">
        <v>103</v>
      </c>
      <c r="L32" s="3" t="s">
        <v>37</v>
      </c>
      <c r="Q32" s="3" t="s">
        <v>38</v>
      </c>
    </row>
    <row r="34" spans="1:20" x14ac:dyDescent="0.2">
      <c r="A34" s="1">
        <v>2011</v>
      </c>
      <c r="B34" s="12">
        <v>19.7</v>
      </c>
      <c r="C34">
        <v>1.2</v>
      </c>
      <c r="D34">
        <v>2.2000000000000002</v>
      </c>
      <c r="E34">
        <v>16.3</v>
      </c>
      <c r="G34">
        <v>19.7</v>
      </c>
      <c r="H34">
        <v>1.2</v>
      </c>
      <c r="I34">
        <v>2.2000000000000002</v>
      </c>
      <c r="J34">
        <v>16.3</v>
      </c>
      <c r="L34">
        <f>100-((B34/G34)*100)</f>
        <v>0</v>
      </c>
      <c r="M34">
        <f>100-((C34/H34)*100)</f>
        <v>0</v>
      </c>
      <c r="N34">
        <f>100-((D34/I34)*100)</f>
        <v>0</v>
      </c>
      <c r="O34">
        <f>100-((E34/J34)*100)</f>
        <v>0</v>
      </c>
      <c r="Q34">
        <f>L34/20</f>
        <v>0</v>
      </c>
      <c r="R34">
        <f>M34/20</f>
        <v>0</v>
      </c>
      <c r="S34">
        <f>N34/20</f>
        <v>0</v>
      </c>
      <c r="T34">
        <f>O34/20</f>
        <v>0</v>
      </c>
    </row>
    <row r="35" spans="1:20" x14ac:dyDescent="0.2">
      <c r="A35" s="1">
        <v>2012</v>
      </c>
      <c r="B35" s="12">
        <v>20.05</v>
      </c>
      <c r="C35">
        <v>1.265231</v>
      </c>
      <c r="D35">
        <v>2.2660969999999998</v>
      </c>
      <c r="E35">
        <v>16.501719999999999</v>
      </c>
      <c r="G35">
        <v>20.640549</v>
      </c>
      <c r="H35" s="41">
        <v>1.316554</v>
      </c>
      <c r="I35">
        <v>2.4084590000000001</v>
      </c>
      <c r="J35">
        <v>16.915535999999999</v>
      </c>
      <c r="L35">
        <f t="shared" ref="L35:L45" si="16">100-((B35/G35)*100)</f>
        <v>2.8611109132804557</v>
      </c>
      <c r="M35">
        <f t="shared" ref="M35:M45" si="17">100-((C35/H35)*100)</f>
        <v>3.8982829416795681</v>
      </c>
      <c r="N35">
        <f t="shared" ref="N35:N45" si="18">100-((D35/I35)*100)</f>
        <v>5.9109164822818343</v>
      </c>
      <c r="O35">
        <f t="shared" ref="O35:O45" si="19">100-((E35/J35)*100)</f>
        <v>2.4463664645329715</v>
      </c>
      <c r="Q35">
        <f t="shared" ref="Q35:Q45" si="20">L35/20</f>
        <v>0.14305554566402279</v>
      </c>
      <c r="R35">
        <f t="shared" ref="R35:R45" si="21">M35/20</f>
        <v>0.19491414708397842</v>
      </c>
      <c r="S35">
        <f t="shared" ref="S35:S45" si="22">N35/20</f>
        <v>0.29554582411409169</v>
      </c>
      <c r="T35">
        <f t="shared" ref="T35:T45" si="23">O35/20</f>
        <v>0.12231832322664857</v>
      </c>
    </row>
    <row r="36" spans="1:20" x14ac:dyDescent="0.2">
      <c r="A36" s="1">
        <v>2013</v>
      </c>
      <c r="B36" s="12">
        <v>20.99</v>
      </c>
      <c r="C36">
        <v>1.430596</v>
      </c>
      <c r="D36">
        <v>2.3696220000000001</v>
      </c>
      <c r="E36">
        <v>16.968012000000002</v>
      </c>
      <c r="G36">
        <v>21.746192000000001</v>
      </c>
      <c r="H36" s="41">
        <v>1.628325</v>
      </c>
      <c r="I36">
        <v>2.6827230000000002</v>
      </c>
      <c r="J36">
        <v>17.435144000000001</v>
      </c>
      <c r="L36">
        <f t="shared" si="16"/>
        <v>3.4773536442610435</v>
      </c>
      <c r="M36">
        <f t="shared" si="17"/>
        <v>12.143091827491446</v>
      </c>
      <c r="N36">
        <f t="shared" si="18"/>
        <v>11.67101486064719</v>
      </c>
      <c r="O36">
        <f t="shared" si="19"/>
        <v>2.6792551871094332</v>
      </c>
      <c r="Q36">
        <f t="shared" si="20"/>
        <v>0.17386768221305218</v>
      </c>
      <c r="R36">
        <f t="shared" si="21"/>
        <v>0.60715459137457228</v>
      </c>
      <c r="S36">
        <f t="shared" si="22"/>
        <v>0.58355074303235954</v>
      </c>
      <c r="T36">
        <f t="shared" si="23"/>
        <v>0.13396275935547167</v>
      </c>
    </row>
    <row r="37" spans="1:20" x14ac:dyDescent="0.2">
      <c r="A37" s="1">
        <v>2014</v>
      </c>
      <c r="B37" s="12">
        <v>21.85</v>
      </c>
      <c r="C37">
        <v>1.761155</v>
      </c>
      <c r="D37">
        <v>2.5096639999999999</v>
      </c>
      <c r="E37">
        <v>17.545867000000001</v>
      </c>
      <c r="G37">
        <v>24.894656000000001</v>
      </c>
      <c r="H37" s="41">
        <v>2.2115239999999998</v>
      </c>
      <c r="I37">
        <v>3.0892629999999999</v>
      </c>
      <c r="J37">
        <v>19.593869000000002</v>
      </c>
      <c r="L37">
        <f t="shared" si="16"/>
        <v>12.230158954596519</v>
      </c>
      <c r="M37">
        <f t="shared" si="17"/>
        <v>20.364644471414266</v>
      </c>
      <c r="N37">
        <f t="shared" si="18"/>
        <v>18.761724074641748</v>
      </c>
      <c r="O37">
        <f t="shared" si="19"/>
        <v>10.452259326629161</v>
      </c>
      <c r="Q37">
        <f t="shared" si="20"/>
        <v>0.61150794772982597</v>
      </c>
      <c r="R37">
        <f t="shared" si="21"/>
        <v>1.0182322235707133</v>
      </c>
      <c r="S37">
        <f t="shared" si="22"/>
        <v>0.9380862037320874</v>
      </c>
      <c r="T37">
        <f t="shared" si="23"/>
        <v>0.52261296633145804</v>
      </c>
    </row>
    <row r="38" spans="1:20" x14ac:dyDescent="0.2">
      <c r="A38" s="1">
        <v>2015</v>
      </c>
      <c r="B38" s="12">
        <v>23.13</v>
      </c>
      <c r="C38">
        <v>2.29013</v>
      </c>
      <c r="D38">
        <v>2.6795339999999999</v>
      </c>
      <c r="E38">
        <v>18.039715000000001</v>
      </c>
      <c r="G38">
        <v>28.437660999999999</v>
      </c>
      <c r="H38" s="41">
        <v>3.0716519999999998</v>
      </c>
      <c r="I38">
        <v>3.5285299999999999</v>
      </c>
      <c r="J38">
        <v>21.837478999999998</v>
      </c>
      <c r="L38">
        <f t="shared" si="16"/>
        <v>18.664196749514659</v>
      </c>
      <c r="M38">
        <f t="shared" si="17"/>
        <v>25.443051491510104</v>
      </c>
      <c r="N38">
        <f t="shared" si="18"/>
        <v>24.06089788098727</v>
      </c>
      <c r="O38">
        <f t="shared" si="19"/>
        <v>17.391036758409697</v>
      </c>
      <c r="Q38">
        <f t="shared" si="20"/>
        <v>0.93320983747573294</v>
      </c>
      <c r="R38">
        <f t="shared" si="21"/>
        <v>1.2721525745755051</v>
      </c>
      <c r="S38">
        <f t="shared" si="22"/>
        <v>1.2030448940493634</v>
      </c>
      <c r="T38">
        <f t="shared" si="23"/>
        <v>0.86955183792048485</v>
      </c>
    </row>
    <row r="39" spans="1:20" x14ac:dyDescent="0.2">
      <c r="A39" s="1">
        <v>2016</v>
      </c>
      <c r="B39" s="12"/>
      <c r="C39" t="s">
        <v>120</v>
      </c>
      <c r="D39" t="s">
        <v>120</v>
      </c>
      <c r="E39" t="s">
        <v>120</v>
      </c>
      <c r="G39" t="s">
        <v>120</v>
      </c>
      <c r="H39" s="41" t="s">
        <v>120</v>
      </c>
      <c r="I39" t="s">
        <v>120</v>
      </c>
      <c r="J39" t="s">
        <v>120</v>
      </c>
    </row>
    <row r="40" spans="1:20" x14ac:dyDescent="0.2">
      <c r="A40" s="1">
        <v>2017</v>
      </c>
      <c r="B40" s="12"/>
    </row>
    <row r="41" spans="1:20" x14ac:dyDescent="0.2">
      <c r="A41" s="1">
        <v>2018</v>
      </c>
      <c r="B41" s="12">
        <v>29.89</v>
      </c>
      <c r="C41">
        <v>6.0926629999999999</v>
      </c>
      <c r="D41">
        <v>3.4214389999999999</v>
      </c>
      <c r="E41">
        <v>21.234466000000001</v>
      </c>
      <c r="G41">
        <v>44.421188000000001</v>
      </c>
      <c r="H41" s="41">
        <v>6.771185</v>
      </c>
      <c r="I41">
        <v>6.8568870000000004</v>
      </c>
      <c r="J41">
        <v>30.793116000000001</v>
      </c>
      <c r="L41">
        <f t="shared" si="16"/>
        <v>32.712290360176766</v>
      </c>
      <c r="M41">
        <f t="shared" si="17"/>
        <v>10.02072753882814</v>
      </c>
      <c r="N41">
        <f t="shared" si="18"/>
        <v>50.102152769908564</v>
      </c>
      <c r="O41">
        <f t="shared" si="19"/>
        <v>31.041515902450399</v>
      </c>
      <c r="Q41">
        <f t="shared" si="20"/>
        <v>1.6356145180088384</v>
      </c>
      <c r="R41">
        <f t="shared" si="21"/>
        <v>0.50103637694140701</v>
      </c>
      <c r="S41">
        <f t="shared" si="22"/>
        <v>2.5051076384954283</v>
      </c>
      <c r="T41">
        <f t="shared" si="23"/>
        <v>1.5520757951225199</v>
      </c>
    </row>
    <row r="42" spans="1:20" x14ac:dyDescent="0.2">
      <c r="A42" s="1">
        <v>2019</v>
      </c>
      <c r="B42" s="12">
        <v>32.71</v>
      </c>
      <c r="C42">
        <v>8.0459759999999996</v>
      </c>
      <c r="D42">
        <v>3.6873420000000001</v>
      </c>
      <c r="E42">
        <v>21.999669000000001</v>
      </c>
      <c r="G42">
        <v>49.460251999999997</v>
      </c>
      <c r="H42" s="41">
        <v>8.2843239999999998</v>
      </c>
      <c r="I42">
        <v>7.642944</v>
      </c>
      <c r="J42">
        <v>33.532983999999999</v>
      </c>
      <c r="L42">
        <f t="shared" si="16"/>
        <v>33.866087055116495</v>
      </c>
      <c r="M42">
        <f t="shared" si="17"/>
        <v>2.8770965500625039</v>
      </c>
      <c r="N42">
        <f t="shared" si="18"/>
        <v>51.754952018489206</v>
      </c>
      <c r="O42">
        <f t="shared" si="19"/>
        <v>34.393941797723699</v>
      </c>
      <c r="Q42">
        <f t="shared" si="20"/>
        <v>1.6933043527558247</v>
      </c>
      <c r="R42">
        <f t="shared" si="21"/>
        <v>0.1438548275031252</v>
      </c>
      <c r="S42">
        <f t="shared" si="22"/>
        <v>2.5877476009244602</v>
      </c>
      <c r="T42">
        <f t="shared" si="23"/>
        <v>1.719697089886185</v>
      </c>
    </row>
    <row r="43" spans="1:20" x14ac:dyDescent="0.2">
      <c r="A43" s="1">
        <v>2020</v>
      </c>
      <c r="B43" s="12">
        <v>35.83</v>
      </c>
      <c r="C43">
        <v>10.344075</v>
      </c>
      <c r="D43">
        <v>3.949732</v>
      </c>
      <c r="E43">
        <v>22.997731999999999</v>
      </c>
      <c r="G43">
        <v>53.874482</v>
      </c>
      <c r="H43" s="41">
        <v>9.8036209999999997</v>
      </c>
      <c r="I43">
        <v>8.4526730000000008</v>
      </c>
      <c r="J43">
        <v>35.618188000000004</v>
      </c>
      <c r="L43">
        <f t="shared" si="16"/>
        <v>33.493560086573083</v>
      </c>
      <c r="M43">
        <f t="shared" si="17"/>
        <v>-5.5127998114166132</v>
      </c>
      <c r="N43">
        <f t="shared" si="18"/>
        <v>53.272390875643723</v>
      </c>
      <c r="O43">
        <f t="shared" si="19"/>
        <v>35.43261661710585</v>
      </c>
      <c r="Q43">
        <f t="shared" si="20"/>
        <v>1.6746780043286542</v>
      </c>
      <c r="R43">
        <f t="shared" si="21"/>
        <v>-0.27563999057083066</v>
      </c>
      <c r="S43">
        <f t="shared" si="22"/>
        <v>2.6636195437821861</v>
      </c>
      <c r="T43">
        <f t="shared" si="23"/>
        <v>1.7716308308552926</v>
      </c>
    </row>
    <row r="44" spans="1:20" x14ac:dyDescent="0.2">
      <c r="A44" s="1">
        <v>2021</v>
      </c>
      <c r="B44" s="12">
        <v>39.43</v>
      </c>
      <c r="C44">
        <v>12.931699</v>
      </c>
      <c r="D44">
        <v>4.1932130000000001</v>
      </c>
      <c r="E44">
        <v>23.579702999999999</v>
      </c>
      <c r="G44">
        <v>56.544766000000003</v>
      </c>
      <c r="H44" s="41">
        <v>11.116213999999999</v>
      </c>
      <c r="I44">
        <v>9.0999079999999992</v>
      </c>
      <c r="J44">
        <v>36.328643999999997</v>
      </c>
      <c r="L44">
        <f t="shared" si="16"/>
        <v>30.267639625566773</v>
      </c>
      <c r="M44">
        <f t="shared" si="17"/>
        <v>-16.331864427942833</v>
      </c>
      <c r="N44">
        <f t="shared" si="18"/>
        <v>53.920270402733742</v>
      </c>
      <c r="O44">
        <f t="shared" si="19"/>
        <v>35.093357737216948</v>
      </c>
      <c r="Q44">
        <f t="shared" si="20"/>
        <v>1.5133819812783387</v>
      </c>
      <c r="R44">
        <f t="shared" si="21"/>
        <v>-0.81659322139714163</v>
      </c>
      <c r="S44">
        <f t="shared" si="22"/>
        <v>2.6960135201366873</v>
      </c>
      <c r="T44">
        <f t="shared" si="23"/>
        <v>1.7546678868608474</v>
      </c>
    </row>
    <row r="45" spans="1:20" x14ac:dyDescent="0.2">
      <c r="A45" s="1">
        <v>2022</v>
      </c>
      <c r="B45" s="12">
        <v>43.01</v>
      </c>
      <c r="C45">
        <v>15.779876</v>
      </c>
      <c r="D45">
        <v>4.4198760000000004</v>
      </c>
      <c r="E45">
        <v>23.880011</v>
      </c>
      <c r="G45">
        <v>59.002445999999999</v>
      </c>
      <c r="H45" s="41">
        <v>12.475721999999999</v>
      </c>
      <c r="I45">
        <v>9.8170310000000001</v>
      </c>
      <c r="J45">
        <v>36.709693999999999</v>
      </c>
      <c r="L45">
        <f t="shared" si="16"/>
        <v>27.104716980716361</v>
      </c>
      <c r="M45">
        <f t="shared" si="17"/>
        <v>-26.484671588546149</v>
      </c>
      <c r="N45">
        <f t="shared" si="18"/>
        <v>54.9774672199772</v>
      </c>
      <c r="O45">
        <f t="shared" si="19"/>
        <v>34.949032808609076</v>
      </c>
      <c r="Q45" s="9">
        <f t="shared" si="20"/>
        <v>1.3552358490358181</v>
      </c>
      <c r="R45" s="9">
        <f t="shared" si="21"/>
        <v>-1.3242335794273075</v>
      </c>
      <c r="S45" s="9">
        <f t="shared" si="22"/>
        <v>2.7488733609988598</v>
      </c>
      <c r="T45" s="9">
        <f t="shared" si="23"/>
        <v>1.7474516404304539</v>
      </c>
    </row>
    <row r="47" spans="1:20" x14ac:dyDescent="0.2">
      <c r="G47" s="31" t="s">
        <v>91</v>
      </c>
    </row>
    <row r="49" spans="1:20" x14ac:dyDescent="0.2">
      <c r="A49" s="1">
        <v>2011</v>
      </c>
      <c r="B49" s="12">
        <v>19.7</v>
      </c>
      <c r="C49">
        <v>1.2</v>
      </c>
      <c r="D49">
        <v>2.2000000000000002</v>
      </c>
      <c r="E49">
        <v>16.3</v>
      </c>
      <c r="G49">
        <v>19.7</v>
      </c>
      <c r="H49">
        <v>2.83</v>
      </c>
      <c r="I49">
        <v>3.83</v>
      </c>
      <c r="J49">
        <v>13.04</v>
      </c>
      <c r="L49">
        <f>100-((B49/G49)*100)</f>
        <v>0</v>
      </c>
      <c r="M49">
        <f>100-((C49/H49)*100)</f>
        <v>57.597173144876329</v>
      </c>
      <c r="N49">
        <f>100-((D49/I49)*100)</f>
        <v>42.558746736292427</v>
      </c>
      <c r="O49">
        <f>100-((E49/J49)*100)</f>
        <v>-25.000000000000028</v>
      </c>
      <c r="Q49">
        <f>L49/20</f>
        <v>0</v>
      </c>
      <c r="R49">
        <f>M49/20</f>
        <v>2.8798586572438163</v>
      </c>
      <c r="S49">
        <f>N49/20</f>
        <v>2.1279373368146213</v>
      </c>
      <c r="T49">
        <f>O49/20</f>
        <v>-1.2500000000000013</v>
      </c>
    </row>
    <row r="50" spans="1:20" x14ac:dyDescent="0.2">
      <c r="A50" s="1">
        <v>2012</v>
      </c>
      <c r="B50" s="12">
        <v>20.05</v>
      </c>
      <c r="C50">
        <v>1.265231</v>
      </c>
      <c r="D50">
        <v>2.2660969999999998</v>
      </c>
      <c r="E50">
        <v>16.501719999999999</v>
      </c>
      <c r="G50">
        <v>20.739045000000001</v>
      </c>
      <c r="H50">
        <v>3.0586359999999999</v>
      </c>
      <c r="I50">
        <v>4.0331789999999996</v>
      </c>
      <c r="J50">
        <v>13.64723</v>
      </c>
      <c r="L50">
        <f t="shared" ref="L50:L60" si="24">100-((B50/G50)*100)</f>
        <v>3.3224528901885293</v>
      </c>
      <c r="M50">
        <f t="shared" ref="M50:M60" si="25">100-((C50/H50)*100)</f>
        <v>58.634142800908641</v>
      </c>
      <c r="N50">
        <f t="shared" ref="N50:N60" si="26">100-((D50/I50)*100)</f>
        <v>43.813626918120917</v>
      </c>
      <c r="O50">
        <f t="shared" ref="O50:O60" si="27">100-((E50/J50)*100)</f>
        <v>-20.91625919692126</v>
      </c>
      <c r="Q50">
        <f t="shared" ref="Q50:Q60" si="28">L50/20</f>
        <v>0.16612264450942646</v>
      </c>
      <c r="R50">
        <f t="shared" ref="R50:R60" si="29">M50/20</f>
        <v>2.931707140045432</v>
      </c>
      <c r="S50">
        <f t="shared" ref="S50:S60" si="30">N50/20</f>
        <v>2.1906813459060457</v>
      </c>
      <c r="T50">
        <f t="shared" ref="T50:T60" si="31">O50/20</f>
        <v>-1.045812959846063</v>
      </c>
    </row>
    <row r="51" spans="1:20" x14ac:dyDescent="0.2">
      <c r="A51" s="1">
        <v>2013</v>
      </c>
      <c r="B51" s="12">
        <v>20.99</v>
      </c>
      <c r="C51">
        <v>1.430596</v>
      </c>
      <c r="D51">
        <v>2.3696220000000001</v>
      </c>
      <c r="E51">
        <v>16.968012000000002</v>
      </c>
      <c r="G51">
        <v>22.132570999999999</v>
      </c>
      <c r="H51">
        <v>3.5505439999999999</v>
      </c>
      <c r="I51">
        <v>4.2700979999999999</v>
      </c>
      <c r="J51">
        <v>14.311928</v>
      </c>
      <c r="L51">
        <f t="shared" si="24"/>
        <v>5.1623961807238743</v>
      </c>
      <c r="M51">
        <f t="shared" si="25"/>
        <v>59.707695496802742</v>
      </c>
      <c r="N51">
        <f t="shared" si="26"/>
        <v>44.50661319716783</v>
      </c>
      <c r="O51">
        <f t="shared" si="27"/>
        <v>-18.558533832758258</v>
      </c>
      <c r="Q51">
        <f t="shared" si="28"/>
        <v>0.25811980903619369</v>
      </c>
      <c r="R51">
        <f t="shared" si="29"/>
        <v>2.9853847748401372</v>
      </c>
      <c r="S51">
        <f t="shared" si="30"/>
        <v>2.2253306598583915</v>
      </c>
      <c r="T51">
        <f t="shared" si="31"/>
        <v>-0.92792669163791286</v>
      </c>
    </row>
    <row r="52" spans="1:20" x14ac:dyDescent="0.2">
      <c r="A52" s="1">
        <v>2014</v>
      </c>
      <c r="B52" s="12">
        <v>21.85</v>
      </c>
      <c r="C52">
        <v>1.761155</v>
      </c>
      <c r="D52">
        <v>2.5096639999999999</v>
      </c>
      <c r="E52">
        <v>17.545867000000001</v>
      </c>
      <c r="G52">
        <v>23.962439</v>
      </c>
      <c r="H52">
        <v>4.4372999999999996</v>
      </c>
      <c r="I52">
        <v>4.5387240000000002</v>
      </c>
      <c r="J52">
        <v>14.986414999999999</v>
      </c>
      <c r="L52">
        <f t="shared" si="24"/>
        <v>8.815625988656663</v>
      </c>
      <c r="M52">
        <f t="shared" si="25"/>
        <v>60.310211164446841</v>
      </c>
      <c r="N52">
        <f t="shared" si="26"/>
        <v>44.705516352172992</v>
      </c>
      <c r="O52">
        <f t="shared" si="27"/>
        <v>-17.078480744060556</v>
      </c>
      <c r="Q52">
        <f t="shared" si="28"/>
        <v>0.44078129943283317</v>
      </c>
      <c r="R52">
        <f t="shared" si="29"/>
        <v>3.015510558222342</v>
      </c>
      <c r="S52">
        <f t="shared" si="30"/>
        <v>2.2352758176086498</v>
      </c>
      <c r="T52">
        <f t="shared" si="31"/>
        <v>-0.85392403720302779</v>
      </c>
    </row>
    <row r="53" spans="1:20" x14ac:dyDescent="0.2">
      <c r="A53" s="1">
        <v>2015</v>
      </c>
      <c r="B53" s="12">
        <v>23.13</v>
      </c>
      <c r="C53">
        <v>2.29013</v>
      </c>
      <c r="D53">
        <v>2.6795339999999999</v>
      </c>
      <c r="E53">
        <v>18.039715000000001</v>
      </c>
      <c r="G53">
        <v>26.498975000000002</v>
      </c>
      <c r="H53">
        <v>5.7651159999999999</v>
      </c>
      <c r="I53">
        <v>4.8611579999999996</v>
      </c>
      <c r="J53">
        <v>15.8727</v>
      </c>
      <c r="L53">
        <f t="shared" si="24"/>
        <v>12.713604960191859</v>
      </c>
      <c r="M53">
        <f t="shared" si="25"/>
        <v>60.276081175122933</v>
      </c>
      <c r="N53">
        <f t="shared" si="26"/>
        <v>44.878689398698825</v>
      </c>
      <c r="O53">
        <f t="shared" si="27"/>
        <v>-13.65246618407707</v>
      </c>
      <c r="Q53">
        <f t="shared" si="28"/>
        <v>0.63568024800959289</v>
      </c>
      <c r="R53">
        <f t="shared" si="29"/>
        <v>3.0138040587561465</v>
      </c>
      <c r="S53">
        <f t="shared" si="30"/>
        <v>2.2439344699349411</v>
      </c>
      <c r="T53">
        <f t="shared" si="31"/>
        <v>-0.6826233092038535</v>
      </c>
    </row>
    <row r="54" spans="1:20" x14ac:dyDescent="0.2">
      <c r="A54" s="1">
        <v>2016</v>
      </c>
      <c r="B54" s="12"/>
      <c r="C54" t="s">
        <v>120</v>
      </c>
      <c r="D54" t="s">
        <v>120</v>
      </c>
      <c r="E54" t="s">
        <v>120</v>
      </c>
      <c r="G54" t="s">
        <v>120</v>
      </c>
      <c r="H54" t="s">
        <v>120</v>
      </c>
      <c r="I54" t="s">
        <v>120</v>
      </c>
      <c r="J54" t="s">
        <v>120</v>
      </c>
    </row>
    <row r="55" spans="1:20" x14ac:dyDescent="0.2">
      <c r="A55" s="1">
        <v>2017</v>
      </c>
      <c r="B55" s="12"/>
    </row>
    <row r="56" spans="1:20" x14ac:dyDescent="0.2">
      <c r="A56" s="1">
        <v>2018</v>
      </c>
      <c r="B56" s="12">
        <v>29.89</v>
      </c>
      <c r="C56">
        <v>6.0926629999999999</v>
      </c>
      <c r="D56">
        <v>3.4214389999999999</v>
      </c>
      <c r="E56">
        <v>21.234466000000001</v>
      </c>
      <c r="G56">
        <v>38.805864999999997</v>
      </c>
      <c r="H56">
        <v>13.871085000000001</v>
      </c>
      <c r="I56">
        <v>5.7430070000000004</v>
      </c>
      <c r="J56">
        <v>19.191773000000001</v>
      </c>
      <c r="L56">
        <f t="shared" si="24"/>
        <v>22.975560524163029</v>
      </c>
      <c r="M56">
        <f t="shared" si="25"/>
        <v>56.07652177172875</v>
      </c>
      <c r="N56">
        <f t="shared" si="26"/>
        <v>40.424258580914149</v>
      </c>
      <c r="O56">
        <f t="shared" si="27"/>
        <v>-10.643586707700223</v>
      </c>
      <c r="Q56">
        <f t="shared" si="28"/>
        <v>1.1487780262081515</v>
      </c>
      <c r="R56">
        <f t="shared" si="29"/>
        <v>2.8038260885864377</v>
      </c>
      <c r="S56">
        <f t="shared" si="30"/>
        <v>2.0212129290457073</v>
      </c>
      <c r="T56">
        <f t="shared" si="31"/>
        <v>-0.53217933538501117</v>
      </c>
    </row>
    <row r="57" spans="1:20" x14ac:dyDescent="0.2">
      <c r="A57" s="1">
        <v>2019</v>
      </c>
      <c r="B57" s="12">
        <v>32.71</v>
      </c>
      <c r="C57">
        <v>8.0459759999999996</v>
      </c>
      <c r="D57">
        <v>3.6873420000000001</v>
      </c>
      <c r="E57">
        <v>21.999669000000001</v>
      </c>
      <c r="G57">
        <v>42.933387000000003</v>
      </c>
      <c r="H57">
        <v>17.270581</v>
      </c>
      <c r="I57">
        <v>6.0409560000000004</v>
      </c>
      <c r="J57">
        <v>19.621849999999998</v>
      </c>
      <c r="L57">
        <f t="shared" si="24"/>
        <v>23.812207035983448</v>
      </c>
      <c r="M57">
        <f t="shared" si="25"/>
        <v>53.412244787827348</v>
      </c>
      <c r="N57">
        <f t="shared" si="26"/>
        <v>38.960952537975778</v>
      </c>
      <c r="O57">
        <f t="shared" si="27"/>
        <v>-12.118220249364882</v>
      </c>
      <c r="Q57">
        <f t="shared" si="28"/>
        <v>1.1906103517991724</v>
      </c>
      <c r="R57">
        <f t="shared" si="29"/>
        <v>2.6706122393913674</v>
      </c>
      <c r="S57">
        <f t="shared" si="30"/>
        <v>1.948047626898789</v>
      </c>
      <c r="T57">
        <f t="shared" si="31"/>
        <v>-0.60591101246824408</v>
      </c>
    </row>
    <row r="58" spans="1:20" x14ac:dyDescent="0.2">
      <c r="A58" s="1">
        <v>2020</v>
      </c>
      <c r="B58" s="12">
        <v>35.83</v>
      </c>
      <c r="C58">
        <v>10.344075</v>
      </c>
      <c r="D58">
        <v>3.949732</v>
      </c>
      <c r="E58">
        <v>22.997731999999999</v>
      </c>
      <c r="G58">
        <v>47.315469999999998</v>
      </c>
      <c r="H58">
        <v>20.821439000000002</v>
      </c>
      <c r="I58">
        <v>6.3224410000000004</v>
      </c>
      <c r="J58">
        <v>20.171589999999998</v>
      </c>
      <c r="L58">
        <f t="shared" si="24"/>
        <v>24.274238425614286</v>
      </c>
      <c r="M58">
        <f t="shared" si="25"/>
        <v>50.320076340544958</v>
      </c>
      <c r="N58">
        <f t="shared" si="26"/>
        <v>37.528369185256139</v>
      </c>
      <c r="O58">
        <f t="shared" si="27"/>
        <v>-14.010506856425309</v>
      </c>
      <c r="Q58">
        <f t="shared" si="28"/>
        <v>1.2137119212807144</v>
      </c>
      <c r="R58">
        <f t="shared" si="29"/>
        <v>2.5160038170272481</v>
      </c>
      <c r="S58">
        <f t="shared" si="30"/>
        <v>1.876418459262807</v>
      </c>
      <c r="T58">
        <f t="shared" si="31"/>
        <v>-0.70052534282126544</v>
      </c>
    </row>
    <row r="59" spans="1:20" x14ac:dyDescent="0.2">
      <c r="A59" s="1">
        <v>2021</v>
      </c>
      <c r="B59" s="12">
        <v>39.43</v>
      </c>
      <c r="C59">
        <v>12.931699</v>
      </c>
      <c r="D59">
        <v>4.1932130000000001</v>
      </c>
      <c r="E59">
        <v>23.579702999999999</v>
      </c>
      <c r="G59">
        <v>51.271422999999999</v>
      </c>
      <c r="H59">
        <v>24.254875999999999</v>
      </c>
      <c r="I59">
        <v>6.5569360000000003</v>
      </c>
      <c r="J59">
        <v>20.459610000000001</v>
      </c>
      <c r="L59">
        <f t="shared" si="24"/>
        <v>23.095561439751734</v>
      </c>
      <c r="M59">
        <f t="shared" si="25"/>
        <v>46.684126523673008</v>
      </c>
      <c r="N59">
        <f t="shared" si="26"/>
        <v>36.049200419220199</v>
      </c>
      <c r="O59">
        <f t="shared" si="27"/>
        <v>-15.250012097004756</v>
      </c>
      <c r="Q59">
        <f t="shared" si="28"/>
        <v>1.1547780719875866</v>
      </c>
      <c r="R59">
        <f t="shared" si="29"/>
        <v>2.3342063261836503</v>
      </c>
      <c r="S59">
        <f t="shared" si="30"/>
        <v>1.80246002096101</v>
      </c>
      <c r="T59">
        <f t="shared" si="31"/>
        <v>-0.76250060485023785</v>
      </c>
    </row>
    <row r="60" spans="1:20" x14ac:dyDescent="0.2">
      <c r="A60" s="1">
        <v>2022</v>
      </c>
      <c r="B60" s="12">
        <v>43.01</v>
      </c>
      <c r="C60">
        <v>15.779876</v>
      </c>
      <c r="D60">
        <v>4.4198760000000004</v>
      </c>
      <c r="E60">
        <v>23.880011</v>
      </c>
      <c r="G60">
        <v>54.83663</v>
      </c>
      <c r="H60">
        <v>27.523261999999999</v>
      </c>
      <c r="I60">
        <v>6.7580580000000001</v>
      </c>
      <c r="J60">
        <v>20.555311</v>
      </c>
      <c r="L60">
        <f t="shared" si="24"/>
        <v>21.567025544786404</v>
      </c>
      <c r="M60">
        <f t="shared" si="25"/>
        <v>42.667130080729535</v>
      </c>
      <c r="N60">
        <f t="shared" si="26"/>
        <v>34.598430495861379</v>
      </c>
      <c r="O60">
        <f t="shared" si="27"/>
        <v>-16.174408647964512</v>
      </c>
      <c r="Q60" s="9">
        <f t="shared" si="28"/>
        <v>1.0783512772393202</v>
      </c>
      <c r="R60" s="9">
        <f t="shared" si="29"/>
        <v>2.1333565040364766</v>
      </c>
      <c r="S60" s="9">
        <f t="shared" si="30"/>
        <v>1.729921524793069</v>
      </c>
      <c r="T60" s="9">
        <f t="shared" si="31"/>
        <v>-0.80872043239822555</v>
      </c>
    </row>
    <row r="62" spans="1:20" x14ac:dyDescent="0.2">
      <c r="G62" s="3" t="s">
        <v>104</v>
      </c>
    </row>
    <row r="64" spans="1:20" x14ac:dyDescent="0.2">
      <c r="A64" s="1">
        <v>2011</v>
      </c>
      <c r="B64" s="12">
        <v>19.7</v>
      </c>
      <c r="C64">
        <v>1.2</v>
      </c>
      <c r="D64">
        <v>2.2000000000000002</v>
      </c>
      <c r="E64">
        <v>16.3</v>
      </c>
      <c r="G64">
        <v>19.7</v>
      </c>
      <c r="H64">
        <v>1.2</v>
      </c>
      <c r="I64">
        <v>2.2000000000000002</v>
      </c>
      <c r="J64">
        <v>16.3</v>
      </c>
      <c r="L64">
        <f>100-((B64/G64)*100)</f>
        <v>0</v>
      </c>
      <c r="M64">
        <f>100-((C64/H64)*100)</f>
        <v>0</v>
      </c>
      <c r="N64">
        <f>100-((D64/I64)*100)</f>
        <v>0</v>
      </c>
      <c r="O64">
        <f>100-((E64/J64)*100)</f>
        <v>0</v>
      </c>
      <c r="Q64">
        <f>L64/20</f>
        <v>0</v>
      </c>
      <c r="R64">
        <f>M64/20</f>
        <v>0</v>
      </c>
      <c r="S64">
        <f>N64/20</f>
        <v>0</v>
      </c>
      <c r="T64">
        <f>O64/20</f>
        <v>0</v>
      </c>
    </row>
    <row r="65" spans="1:20" x14ac:dyDescent="0.2">
      <c r="A65" s="1">
        <v>2012</v>
      </c>
      <c r="B65" s="12">
        <v>20.05</v>
      </c>
      <c r="C65">
        <v>1.265231</v>
      </c>
      <c r="D65">
        <v>2.2660969999999998</v>
      </c>
      <c r="E65">
        <v>16.501719999999999</v>
      </c>
      <c r="G65">
        <v>20.098182999999999</v>
      </c>
      <c r="H65">
        <v>1.223894</v>
      </c>
      <c r="I65">
        <v>2.2763939999999998</v>
      </c>
      <c r="J65">
        <v>16.597895000000001</v>
      </c>
      <c r="L65">
        <f t="shared" ref="L65:L75" si="32">100-((B65/G65)*100)</f>
        <v>0.23973808975665634</v>
      </c>
      <c r="M65">
        <f t="shared" ref="M65:M75" si="33">100-((C65/H65)*100)</f>
        <v>-3.3774983781275125</v>
      </c>
      <c r="N65">
        <f t="shared" ref="N65:N75" si="34">100-((D65/I65)*100)</f>
        <v>0.45233821561645016</v>
      </c>
      <c r="O65">
        <f t="shared" ref="O65:O75" si="35">100-((E65/J65)*100)</f>
        <v>0.57944094718035899</v>
      </c>
      <c r="Q65">
        <f t="shared" ref="Q65:Q75" si="36">L65/20</f>
        <v>1.1986904487832817E-2</v>
      </c>
      <c r="R65">
        <f t="shared" ref="R65:R75" si="37">M65/20</f>
        <v>-0.16887491890637563</v>
      </c>
      <c r="S65">
        <f t="shared" ref="S65:S75" si="38">N65/20</f>
        <v>2.2616910780822508E-2</v>
      </c>
      <c r="T65">
        <f t="shared" ref="T65:T75" si="39">O65/20</f>
        <v>2.8972047359017948E-2</v>
      </c>
    </row>
    <row r="66" spans="1:20" x14ac:dyDescent="0.2">
      <c r="A66" s="1">
        <v>2013</v>
      </c>
      <c r="B66" s="12">
        <v>20.99</v>
      </c>
      <c r="C66">
        <v>1.430596</v>
      </c>
      <c r="D66">
        <v>2.3696220000000001</v>
      </c>
      <c r="E66">
        <v>16.968012000000002</v>
      </c>
      <c r="G66">
        <v>20.655362</v>
      </c>
      <c r="H66">
        <v>1.354082</v>
      </c>
      <c r="I66">
        <v>2.360989</v>
      </c>
      <c r="J66">
        <v>16.940290000000001</v>
      </c>
      <c r="L66">
        <f t="shared" si="32"/>
        <v>-1.6201023250040265</v>
      </c>
      <c r="M66">
        <f t="shared" si="33"/>
        <v>-5.6506179094028255</v>
      </c>
      <c r="N66">
        <f t="shared" si="34"/>
        <v>-0.36565185182988102</v>
      </c>
      <c r="O66">
        <f t="shared" si="35"/>
        <v>-0.16364536852675826</v>
      </c>
      <c r="Q66">
        <f t="shared" si="36"/>
        <v>-8.100511625020132E-2</v>
      </c>
      <c r="R66">
        <f t="shared" si="37"/>
        <v>-0.28253089547014126</v>
      </c>
      <c r="S66">
        <f t="shared" si="38"/>
        <v>-1.8282592591494052E-2</v>
      </c>
      <c r="T66">
        <f t="shared" si="39"/>
        <v>-8.1822684263379124E-3</v>
      </c>
    </row>
    <row r="67" spans="1:20" x14ac:dyDescent="0.2">
      <c r="A67" s="1">
        <v>2014</v>
      </c>
      <c r="B67" s="12">
        <v>21.85</v>
      </c>
      <c r="C67">
        <v>1.761155</v>
      </c>
      <c r="D67">
        <v>2.5096639999999999</v>
      </c>
      <c r="E67">
        <v>17.545867000000001</v>
      </c>
      <c r="G67">
        <v>21.751512999999999</v>
      </c>
      <c r="H67">
        <v>1.632619</v>
      </c>
      <c r="I67">
        <v>2.477109</v>
      </c>
      <c r="J67">
        <v>17.641784999999999</v>
      </c>
      <c r="L67">
        <f t="shared" si="32"/>
        <v>-0.45278229610971721</v>
      </c>
      <c r="M67">
        <f t="shared" si="33"/>
        <v>-7.8729942503425576</v>
      </c>
      <c r="N67">
        <f t="shared" si="34"/>
        <v>-1.31423364898356</v>
      </c>
      <c r="O67">
        <f t="shared" si="35"/>
        <v>0.54369781742606449</v>
      </c>
      <c r="Q67">
        <f t="shared" si="36"/>
        <v>-2.263911480548586E-2</v>
      </c>
      <c r="R67">
        <f t="shared" si="37"/>
        <v>-0.39364971251712788</v>
      </c>
      <c r="S67">
        <f t="shared" si="38"/>
        <v>-6.5711682449177994E-2</v>
      </c>
      <c r="T67">
        <f t="shared" si="39"/>
        <v>2.7184890871303224E-2</v>
      </c>
    </row>
    <row r="68" spans="1:20" x14ac:dyDescent="0.2">
      <c r="A68" s="1">
        <v>2015</v>
      </c>
      <c r="B68" s="12">
        <v>23.13</v>
      </c>
      <c r="C68">
        <v>2.29013</v>
      </c>
      <c r="D68">
        <v>2.6795339999999999</v>
      </c>
      <c r="E68">
        <v>18.039715000000001</v>
      </c>
      <c r="G68">
        <v>22.85868</v>
      </c>
      <c r="H68">
        <v>2.0563739999999999</v>
      </c>
      <c r="I68">
        <v>2.6447180000000001</v>
      </c>
      <c r="J68">
        <v>18.157588000000001</v>
      </c>
      <c r="L68">
        <f t="shared" si="32"/>
        <v>-1.1869451779367779</v>
      </c>
      <c r="M68">
        <f t="shared" si="33"/>
        <v>-11.367387449948325</v>
      </c>
      <c r="N68">
        <f t="shared" si="34"/>
        <v>-1.3164352494292331</v>
      </c>
      <c r="O68">
        <f t="shared" si="35"/>
        <v>0.64916661838564949</v>
      </c>
      <c r="Q68">
        <f t="shared" si="36"/>
        <v>-5.9347258896838895E-2</v>
      </c>
      <c r="R68">
        <f t="shared" si="37"/>
        <v>-0.56836937249741626</v>
      </c>
      <c r="S68">
        <f t="shared" si="38"/>
        <v>-6.5821762471461653E-2</v>
      </c>
      <c r="T68">
        <f t="shared" si="39"/>
        <v>3.2458330919282477E-2</v>
      </c>
    </row>
    <row r="69" spans="1:20" x14ac:dyDescent="0.2">
      <c r="A69" s="1">
        <v>2016</v>
      </c>
      <c r="B69" s="12"/>
      <c r="C69" t="s">
        <v>120</v>
      </c>
      <c r="D69" t="s">
        <v>120</v>
      </c>
      <c r="E69" t="s">
        <v>120</v>
      </c>
      <c r="G69" t="s">
        <v>120</v>
      </c>
      <c r="H69" t="s">
        <v>120</v>
      </c>
      <c r="I69" t="s">
        <v>120</v>
      </c>
      <c r="J69" t="s">
        <v>120</v>
      </c>
    </row>
    <row r="70" spans="1:20" x14ac:dyDescent="0.2">
      <c r="A70" s="1">
        <v>2017</v>
      </c>
      <c r="B70" s="12"/>
    </row>
    <row r="71" spans="1:20" x14ac:dyDescent="0.2">
      <c r="A71" s="1">
        <v>2018</v>
      </c>
      <c r="B71" s="12">
        <v>29.89</v>
      </c>
      <c r="C71">
        <v>6.0926629999999999</v>
      </c>
      <c r="D71">
        <v>3.4214389999999999</v>
      </c>
      <c r="E71">
        <v>21.234466000000001</v>
      </c>
      <c r="G71">
        <v>32.050787999999997</v>
      </c>
      <c r="H71">
        <v>5.9962200000000001</v>
      </c>
      <c r="I71">
        <v>3.6862780000000002</v>
      </c>
      <c r="J71">
        <v>22.368289000000001</v>
      </c>
      <c r="L71">
        <f t="shared" si="32"/>
        <v>6.7417624802235707</v>
      </c>
      <c r="M71">
        <f t="shared" si="33"/>
        <v>-1.6083966232059481</v>
      </c>
      <c r="N71">
        <f t="shared" si="34"/>
        <v>7.1844554317390106</v>
      </c>
      <c r="O71">
        <f t="shared" si="35"/>
        <v>5.0688856890216272</v>
      </c>
      <c r="Q71">
        <f t="shared" si="36"/>
        <v>0.33708812401117855</v>
      </c>
      <c r="R71">
        <f t="shared" si="37"/>
        <v>-8.0419831160297411E-2</v>
      </c>
      <c r="S71">
        <f t="shared" si="38"/>
        <v>0.35922277158695054</v>
      </c>
      <c r="T71">
        <f t="shared" si="39"/>
        <v>0.25344428445108136</v>
      </c>
    </row>
    <row r="72" spans="1:20" x14ac:dyDescent="0.2">
      <c r="A72" s="1">
        <v>2019</v>
      </c>
      <c r="B72" s="12">
        <v>32.71</v>
      </c>
      <c r="C72">
        <v>8.0459759999999996</v>
      </c>
      <c r="D72">
        <v>3.6873420000000001</v>
      </c>
      <c r="E72">
        <v>21.999669000000001</v>
      </c>
      <c r="G72">
        <v>34.448407000000003</v>
      </c>
      <c r="H72">
        <v>7.586811</v>
      </c>
      <c r="I72">
        <v>4.0061410000000004</v>
      </c>
      <c r="J72">
        <v>22.855454999999999</v>
      </c>
      <c r="L72">
        <f t="shared" si="32"/>
        <v>5.0464075160282533</v>
      </c>
      <c r="M72">
        <f t="shared" si="33"/>
        <v>-6.0521476019370795</v>
      </c>
      <c r="N72">
        <f t="shared" si="34"/>
        <v>7.9577578522573305</v>
      </c>
      <c r="O72">
        <f t="shared" si="35"/>
        <v>3.7443402461250486</v>
      </c>
      <c r="Q72">
        <f t="shared" si="36"/>
        <v>0.25232037580141264</v>
      </c>
      <c r="R72">
        <f t="shared" si="37"/>
        <v>-0.30260738009685395</v>
      </c>
      <c r="S72">
        <f t="shared" si="38"/>
        <v>0.3978878926128665</v>
      </c>
      <c r="T72">
        <f t="shared" si="39"/>
        <v>0.18721701230625243</v>
      </c>
    </row>
    <row r="73" spans="1:20" x14ac:dyDescent="0.2">
      <c r="A73" s="1">
        <v>2020</v>
      </c>
      <c r="B73" s="12">
        <v>35.83</v>
      </c>
      <c r="C73">
        <v>10.344075</v>
      </c>
      <c r="D73">
        <v>3.949732</v>
      </c>
      <c r="E73">
        <v>22.997731999999999</v>
      </c>
      <c r="G73">
        <v>37.041361000000002</v>
      </c>
      <c r="H73">
        <v>9.4001269999999995</v>
      </c>
      <c r="I73">
        <v>4.3146459999999998</v>
      </c>
      <c r="J73">
        <v>23.326587</v>
      </c>
      <c r="L73">
        <f t="shared" si="32"/>
        <v>3.2702929031144521</v>
      </c>
      <c r="M73">
        <f t="shared" si="33"/>
        <v>-10.041864328003228</v>
      </c>
      <c r="N73">
        <f t="shared" si="34"/>
        <v>8.4575652324663508</v>
      </c>
      <c r="O73">
        <f t="shared" si="35"/>
        <v>1.4097861808930787</v>
      </c>
      <c r="Q73">
        <f t="shared" si="36"/>
        <v>0.16351464515572262</v>
      </c>
      <c r="R73">
        <f t="shared" si="37"/>
        <v>-0.50209321640016147</v>
      </c>
      <c r="S73">
        <f t="shared" si="38"/>
        <v>0.42287826162331754</v>
      </c>
      <c r="T73">
        <f t="shared" si="39"/>
        <v>7.0489309044653933E-2</v>
      </c>
    </row>
    <row r="74" spans="1:20" x14ac:dyDescent="0.2">
      <c r="A74" s="1">
        <v>2021</v>
      </c>
      <c r="B74" s="12">
        <v>39.43</v>
      </c>
      <c r="C74">
        <v>12.931699</v>
      </c>
      <c r="D74">
        <v>4.1932130000000001</v>
      </c>
      <c r="E74">
        <v>23.579702999999999</v>
      </c>
      <c r="G74">
        <v>39.576206999999997</v>
      </c>
      <c r="H74">
        <v>11.416111000000001</v>
      </c>
      <c r="I74">
        <v>4.6107950000000004</v>
      </c>
      <c r="J74">
        <v>23.549299999999999</v>
      </c>
      <c r="L74">
        <f t="shared" si="32"/>
        <v>0.36943156275688693</v>
      </c>
      <c r="M74">
        <f t="shared" si="33"/>
        <v>-13.275869514583377</v>
      </c>
      <c r="N74">
        <f t="shared" si="34"/>
        <v>9.0566160499436705</v>
      </c>
      <c r="O74">
        <f t="shared" si="35"/>
        <v>-0.12910362516083751</v>
      </c>
      <c r="Q74">
        <f t="shared" si="36"/>
        <v>1.8471578137844346E-2</v>
      </c>
      <c r="R74">
        <f t="shared" si="37"/>
        <v>-0.6637934757291688</v>
      </c>
      <c r="S74">
        <f t="shared" si="38"/>
        <v>0.45283080249718355</v>
      </c>
      <c r="T74">
        <f t="shared" si="39"/>
        <v>-6.4551812580418751E-3</v>
      </c>
    </row>
    <row r="75" spans="1:20" x14ac:dyDescent="0.2">
      <c r="A75" s="1">
        <v>2022</v>
      </c>
      <c r="B75" s="12">
        <v>43.01</v>
      </c>
      <c r="C75">
        <v>15.779876</v>
      </c>
      <c r="D75">
        <v>4.4198760000000004</v>
      </c>
      <c r="E75">
        <v>23.880011</v>
      </c>
      <c r="G75">
        <v>42.302059999999997</v>
      </c>
      <c r="H75">
        <v>13.598516</v>
      </c>
      <c r="I75">
        <v>4.8896579999999998</v>
      </c>
      <c r="J75">
        <v>23.813886</v>
      </c>
      <c r="L75">
        <f t="shared" si="32"/>
        <v>-1.6735355204923792</v>
      </c>
      <c r="M75">
        <f t="shared" si="33"/>
        <v>-16.041162138574535</v>
      </c>
      <c r="N75">
        <f t="shared" si="34"/>
        <v>9.6076658122101577</v>
      </c>
      <c r="O75">
        <f t="shared" si="35"/>
        <v>-0.27767412676789149</v>
      </c>
      <c r="Q75" s="9">
        <f t="shared" si="36"/>
        <v>-8.3676776024618954E-2</v>
      </c>
      <c r="R75" s="9">
        <f t="shared" si="37"/>
        <v>-0.8020581069287267</v>
      </c>
      <c r="S75" s="9">
        <f t="shared" si="38"/>
        <v>0.48038329061050788</v>
      </c>
      <c r="T75" s="9">
        <f t="shared" si="39"/>
        <v>-1.3883706338394575E-2</v>
      </c>
    </row>
    <row r="77" spans="1:20" x14ac:dyDescent="0.2">
      <c r="G77" s="3"/>
    </row>
    <row r="79" spans="1:20" x14ac:dyDescent="0.2">
      <c r="A79" s="1"/>
    </row>
    <row r="80" spans="1:20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</sheetData>
  <mergeCells count="1">
    <mergeCell ref="B3:E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6ABE-303A-4F9F-9A37-1578D5778BBE}">
  <dimension ref="A1:X22"/>
  <sheetViews>
    <sheetView topLeftCell="A2" zoomScale="80" zoomScaleNormal="80" workbookViewId="0">
      <selection activeCell="C18" sqref="C18"/>
    </sheetView>
  </sheetViews>
  <sheetFormatPr baseColWidth="10" defaultColWidth="8.83203125" defaultRowHeight="15" x14ac:dyDescent="0.2"/>
  <sheetData>
    <row r="1" spans="1:24" x14ac:dyDescent="0.2">
      <c r="B1" s="24" t="s">
        <v>87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1" t="s">
        <v>39</v>
      </c>
      <c r="O1" s="11" t="s">
        <v>40</v>
      </c>
      <c r="P1" s="10" t="s">
        <v>30</v>
      </c>
      <c r="Q1" s="10" t="s">
        <v>41</v>
      </c>
      <c r="R1" s="10" t="s">
        <v>42</v>
      </c>
      <c r="S1" s="11" t="s">
        <v>43</v>
      </c>
      <c r="T1" s="11" t="s">
        <v>44</v>
      </c>
      <c r="U1" s="1"/>
      <c r="X1" s="12" t="s">
        <v>75</v>
      </c>
    </row>
    <row r="2" spans="1:24" ht="96" x14ac:dyDescent="0.2">
      <c r="A2" s="3" t="s">
        <v>92</v>
      </c>
      <c r="B2" s="2" t="s">
        <v>21</v>
      </c>
      <c r="C2" s="5" t="s">
        <v>22</v>
      </c>
      <c r="D2" s="2" t="s">
        <v>9</v>
      </c>
      <c r="E2" s="2" t="s">
        <v>23</v>
      </c>
      <c r="F2" s="2" t="s">
        <v>24</v>
      </c>
      <c r="G2" s="5" t="s">
        <v>29</v>
      </c>
      <c r="H2" s="5" t="s">
        <v>30</v>
      </c>
      <c r="I2" s="5" t="s">
        <v>31</v>
      </c>
      <c r="J2" s="30" t="s">
        <v>39</v>
      </c>
      <c r="K2" s="30" t="s">
        <v>40</v>
      </c>
      <c r="L2" s="30" t="s">
        <v>43</v>
      </c>
      <c r="M2" s="30" t="s">
        <v>44</v>
      </c>
      <c r="N2" s="5" t="s">
        <v>32</v>
      </c>
      <c r="O2" s="7" t="s">
        <v>33</v>
      </c>
      <c r="P2" s="5" t="s">
        <v>25</v>
      </c>
      <c r="Q2" s="5" t="s">
        <v>26</v>
      </c>
      <c r="R2" s="5" t="s">
        <v>27</v>
      </c>
      <c r="S2" s="5" t="s">
        <v>28</v>
      </c>
      <c r="T2" s="5" t="s">
        <v>61</v>
      </c>
      <c r="V2" s="5" t="s">
        <v>62</v>
      </c>
      <c r="W2" s="5" t="s">
        <v>63</v>
      </c>
      <c r="X2" s="5" t="s">
        <v>65</v>
      </c>
    </row>
    <row r="3" spans="1:24" x14ac:dyDescent="0.2">
      <c r="A3">
        <v>0</v>
      </c>
      <c r="B3" s="1">
        <v>2005</v>
      </c>
      <c r="C3" s="1">
        <v>17.899999999999999</v>
      </c>
      <c r="D3" s="1">
        <v>2.6</v>
      </c>
      <c r="E3" s="1">
        <v>7.3</v>
      </c>
      <c r="F3" s="1">
        <f>C3-D3-E3</f>
        <v>7.9999999999999991</v>
      </c>
      <c r="G3" s="1">
        <v>36.1</v>
      </c>
      <c r="H3" s="1">
        <v>0.8</v>
      </c>
      <c r="I3" s="1">
        <f>8.8+0.1+3+0.4+24+0.5</f>
        <v>36.799999999999997</v>
      </c>
      <c r="J3" s="1">
        <v>2.4</v>
      </c>
      <c r="K3" s="1">
        <v>4</v>
      </c>
      <c r="L3" s="1">
        <v>4</v>
      </c>
      <c r="M3" s="1">
        <v>5</v>
      </c>
      <c r="N3" s="1">
        <v>0.5</v>
      </c>
      <c r="O3" s="6"/>
      <c r="P3">
        <f>D3+E3</f>
        <v>9.9</v>
      </c>
      <c r="Q3">
        <f>C3-R3-P3</f>
        <v>6.9999999999999982</v>
      </c>
      <c r="R3">
        <v>1</v>
      </c>
      <c r="S3" s="1">
        <v>1.2</v>
      </c>
      <c r="V3">
        <v>17.899999999999999</v>
      </c>
      <c r="W3" t="s">
        <v>64</v>
      </c>
      <c r="X3" t="s">
        <v>110</v>
      </c>
    </row>
    <row r="4" spans="1:24" x14ac:dyDescent="0.2">
      <c r="A4">
        <v>1</v>
      </c>
      <c r="B4" s="1">
        <v>2006</v>
      </c>
      <c r="C4" s="1">
        <v>13.7</v>
      </c>
      <c r="D4" s="1">
        <v>2.2999999999999998</v>
      </c>
      <c r="E4" s="1">
        <v>6</v>
      </c>
      <c r="F4" s="1">
        <f t="shared" ref="F4:F22" si="0">C4-D4-E4</f>
        <v>5.3999999999999986</v>
      </c>
      <c r="G4" s="1">
        <v>20.3</v>
      </c>
      <c r="H4" s="1">
        <v>0.4</v>
      </c>
      <c r="I4" s="1"/>
      <c r="J4" s="1"/>
      <c r="K4" s="1"/>
      <c r="L4" s="1"/>
      <c r="M4" s="1"/>
      <c r="N4" s="1">
        <v>0.3</v>
      </c>
      <c r="O4" s="6" t="s">
        <v>107</v>
      </c>
      <c r="V4">
        <v>11.490926393231209</v>
      </c>
    </row>
    <row r="5" spans="1:24" x14ac:dyDescent="0.2">
      <c r="A5">
        <v>2</v>
      </c>
      <c r="B5" s="1">
        <v>2007</v>
      </c>
      <c r="C5" s="1">
        <v>18.8</v>
      </c>
      <c r="D5" s="1">
        <v>2.1</v>
      </c>
      <c r="E5" s="1">
        <v>8.9</v>
      </c>
      <c r="F5" s="1">
        <f t="shared" si="0"/>
        <v>7.7999999999999989</v>
      </c>
      <c r="G5" s="1">
        <v>24.7</v>
      </c>
      <c r="H5" s="1">
        <v>0.6</v>
      </c>
      <c r="I5" s="1"/>
      <c r="J5" s="1"/>
      <c r="K5" s="1"/>
      <c r="L5" s="1"/>
      <c r="M5" s="1"/>
      <c r="N5" s="1">
        <v>0.9</v>
      </c>
      <c r="O5" s="6"/>
      <c r="V5">
        <v>12.031637074462679</v>
      </c>
    </row>
    <row r="6" spans="1:24" x14ac:dyDescent="0.2">
      <c r="A6">
        <v>3</v>
      </c>
      <c r="B6" s="1">
        <v>2008</v>
      </c>
      <c r="C6" s="1">
        <v>17.7</v>
      </c>
      <c r="D6" s="1">
        <v>3.4</v>
      </c>
      <c r="E6" s="1">
        <v>6.3</v>
      </c>
      <c r="F6" s="1">
        <f t="shared" si="0"/>
        <v>7.9999999999999991</v>
      </c>
      <c r="G6" s="1">
        <v>35</v>
      </c>
      <c r="H6" s="1">
        <v>1.7</v>
      </c>
      <c r="I6" s="1"/>
      <c r="J6" s="1"/>
      <c r="K6" s="1"/>
      <c r="L6" s="1"/>
      <c r="M6" s="1"/>
      <c r="N6" s="1">
        <v>0.3</v>
      </c>
      <c r="O6" s="6"/>
      <c r="V6">
        <v>12.79686143580976</v>
      </c>
    </row>
    <row r="7" spans="1:24" x14ac:dyDescent="0.2">
      <c r="A7">
        <v>4</v>
      </c>
      <c r="B7" s="1">
        <v>2009</v>
      </c>
      <c r="C7" s="1">
        <v>17.399999999999999</v>
      </c>
      <c r="D7" s="1">
        <v>1.8</v>
      </c>
      <c r="E7" s="1">
        <v>7.6</v>
      </c>
      <c r="F7" s="1">
        <f t="shared" si="0"/>
        <v>7.9999999999999982</v>
      </c>
      <c r="G7" s="1">
        <v>41</v>
      </c>
      <c r="H7" s="1">
        <v>2.2000000000000002</v>
      </c>
      <c r="I7" s="1"/>
      <c r="J7" s="1"/>
      <c r="K7" s="1"/>
      <c r="L7" s="1"/>
      <c r="M7" s="1"/>
      <c r="N7" s="1">
        <v>5.2</v>
      </c>
      <c r="O7" s="6"/>
      <c r="V7">
        <v>13.816409641234721</v>
      </c>
    </row>
    <row r="8" spans="1:24" x14ac:dyDescent="0.2">
      <c r="A8">
        <v>5</v>
      </c>
      <c r="B8" s="1">
        <v>2010</v>
      </c>
      <c r="C8" s="1">
        <v>13.3</v>
      </c>
      <c r="D8" s="1">
        <v>1.5</v>
      </c>
      <c r="E8" s="1">
        <v>5.6</v>
      </c>
      <c r="F8" s="1">
        <f t="shared" si="0"/>
        <v>6.2000000000000011</v>
      </c>
      <c r="G8" s="1">
        <v>35.5</v>
      </c>
      <c r="H8" s="1">
        <v>3</v>
      </c>
      <c r="I8" s="1"/>
      <c r="J8" s="1"/>
      <c r="K8" s="1"/>
      <c r="L8" s="1"/>
      <c r="M8" s="1"/>
      <c r="N8" s="1">
        <v>0.2</v>
      </c>
      <c r="O8" s="6"/>
      <c r="V8">
        <v>15.05785118277562</v>
      </c>
    </row>
    <row r="9" spans="1:24" x14ac:dyDescent="0.2">
      <c r="A9">
        <v>6</v>
      </c>
      <c r="B9" s="1">
        <v>2011</v>
      </c>
      <c r="C9" s="1">
        <v>10.7</v>
      </c>
      <c r="D9" s="1">
        <v>0.3</v>
      </c>
      <c r="E9" s="1">
        <v>3.4</v>
      </c>
      <c r="F9" s="1">
        <f t="shared" si="0"/>
        <v>6.9999999999999982</v>
      </c>
      <c r="G9" s="1">
        <v>51.9</v>
      </c>
      <c r="H9" s="1">
        <v>5</v>
      </c>
      <c r="I9" s="1"/>
      <c r="J9" s="1"/>
      <c r="K9" s="1"/>
      <c r="L9" s="1"/>
      <c r="M9" s="1"/>
      <c r="N9" s="1">
        <v>2.9</v>
      </c>
      <c r="O9" s="6" t="s">
        <v>108</v>
      </c>
      <c r="V9">
        <v>10.94016777898011</v>
      </c>
    </row>
    <row r="10" spans="1:24" x14ac:dyDescent="0.2">
      <c r="A10">
        <v>7</v>
      </c>
      <c r="B10" s="1">
        <v>2012</v>
      </c>
      <c r="C10" s="1">
        <v>9.1</v>
      </c>
      <c r="D10" s="1">
        <v>1</v>
      </c>
      <c r="E10" s="8">
        <v>2.9</v>
      </c>
      <c r="F10" s="1">
        <f t="shared" si="0"/>
        <v>5.1999999999999993</v>
      </c>
      <c r="G10" s="1">
        <v>23.8</v>
      </c>
      <c r="H10" s="1">
        <v>1.6</v>
      </c>
      <c r="I10" s="1"/>
      <c r="J10" s="1"/>
      <c r="K10" s="1"/>
      <c r="L10" s="1"/>
      <c r="M10" s="1"/>
      <c r="N10" s="1">
        <v>0.7</v>
      </c>
      <c r="O10" s="40" t="s">
        <v>108</v>
      </c>
      <c r="P10">
        <f>1.4+4.9</f>
        <v>6.3000000000000007</v>
      </c>
      <c r="Q10">
        <v>2.9</v>
      </c>
      <c r="R10">
        <v>1</v>
      </c>
      <c r="S10">
        <v>1.3</v>
      </c>
      <c r="V10">
        <v>12.793480756304289</v>
      </c>
    </row>
    <row r="11" spans="1:24" x14ac:dyDescent="0.2">
      <c r="A11">
        <v>8</v>
      </c>
      <c r="B11" s="1">
        <v>2013</v>
      </c>
      <c r="C11" s="1">
        <v>10.8</v>
      </c>
      <c r="D11" s="1">
        <v>0.5</v>
      </c>
      <c r="E11" s="8">
        <v>4.2</v>
      </c>
      <c r="F11" s="1">
        <f t="shared" si="0"/>
        <v>6.1000000000000005</v>
      </c>
      <c r="G11" s="1">
        <v>32.700000000000003</v>
      </c>
      <c r="H11" s="1">
        <v>1.4</v>
      </c>
      <c r="I11" s="1"/>
      <c r="J11" s="1"/>
      <c r="K11" s="1"/>
      <c r="L11" s="1"/>
      <c r="M11" s="1"/>
      <c r="N11" s="1">
        <v>0.5</v>
      </c>
      <c r="O11" s="6"/>
      <c r="V11">
        <v>14.866544892079631</v>
      </c>
    </row>
    <row r="12" spans="1:24" x14ac:dyDescent="0.2">
      <c r="A12">
        <v>9</v>
      </c>
      <c r="B12" s="1">
        <v>2014</v>
      </c>
      <c r="C12" s="1">
        <v>13.8</v>
      </c>
      <c r="D12" s="1">
        <v>1.7</v>
      </c>
      <c r="E12" s="8">
        <v>5.4</v>
      </c>
      <c r="F12" s="1">
        <f t="shared" si="0"/>
        <v>6.7000000000000011</v>
      </c>
      <c r="G12" s="1">
        <v>37.9</v>
      </c>
      <c r="H12" s="1">
        <v>3.1</v>
      </c>
      <c r="I12" s="1"/>
      <c r="J12" s="1"/>
      <c r="K12" s="1"/>
      <c r="L12" s="1"/>
      <c r="M12" s="1"/>
      <c r="N12" s="1">
        <v>0.2</v>
      </c>
      <c r="O12" s="6"/>
      <c r="V12">
        <v>17.10864463008468</v>
      </c>
    </row>
    <row r="13" spans="1:24" x14ac:dyDescent="0.2">
      <c r="A13">
        <v>10</v>
      </c>
      <c r="B13" s="1">
        <v>2015</v>
      </c>
      <c r="C13" s="1">
        <v>13.2</v>
      </c>
      <c r="D13" s="1">
        <v>1</v>
      </c>
      <c r="E13" s="8">
        <v>8.4</v>
      </c>
      <c r="F13" s="1">
        <f t="shared" si="0"/>
        <v>3.7999999999999989</v>
      </c>
      <c r="G13" s="1">
        <v>39.1</v>
      </c>
      <c r="H13" s="1">
        <v>2.1</v>
      </c>
      <c r="I13" s="1"/>
      <c r="J13" s="1"/>
      <c r="K13" s="1"/>
      <c r="L13" s="1"/>
      <c r="M13" s="1"/>
      <c r="N13" s="1">
        <v>0.2</v>
      </c>
      <c r="O13" s="6"/>
      <c r="V13">
        <v>19.46746127025677</v>
      </c>
    </row>
    <row r="14" spans="1:24" x14ac:dyDescent="0.2">
      <c r="A14">
        <v>11</v>
      </c>
      <c r="B14" s="1">
        <v>2016</v>
      </c>
      <c r="C14" s="1">
        <v>17.600000000000001</v>
      </c>
      <c r="D14" s="1">
        <v>1.5</v>
      </c>
      <c r="E14" s="8">
        <v>7.6</v>
      </c>
      <c r="F14" s="1">
        <f t="shared" si="0"/>
        <v>8.5000000000000018</v>
      </c>
      <c r="G14" s="1">
        <v>31.8</v>
      </c>
      <c r="H14" s="1">
        <v>3.7</v>
      </c>
      <c r="I14" s="1"/>
      <c r="J14" s="1"/>
      <c r="K14" s="1"/>
      <c r="L14" s="1"/>
      <c r="M14" s="1"/>
      <c r="N14" s="1">
        <v>0.6</v>
      </c>
      <c r="V14">
        <v>21.836453775440201</v>
      </c>
    </row>
    <row r="15" spans="1:24" x14ac:dyDescent="0.2">
      <c r="A15">
        <v>12</v>
      </c>
      <c r="B15" s="1">
        <v>2017</v>
      </c>
      <c r="C15" s="1">
        <v>14.9</v>
      </c>
      <c r="D15" s="1">
        <v>2.7</v>
      </c>
      <c r="E15" s="8">
        <v>7.9</v>
      </c>
      <c r="F15" s="1">
        <f t="shared" si="0"/>
        <v>4.2999999999999989</v>
      </c>
      <c r="O15" s="6" t="s">
        <v>34</v>
      </c>
      <c r="V15">
        <v>15.336012442231789</v>
      </c>
    </row>
    <row r="16" spans="1:24" x14ac:dyDescent="0.2">
      <c r="A16">
        <v>13</v>
      </c>
      <c r="B16" s="1">
        <v>2018</v>
      </c>
      <c r="C16" s="1"/>
      <c r="D16" s="1"/>
      <c r="E16" s="8"/>
      <c r="F16" s="1"/>
      <c r="V16">
        <v>16.45013606167613</v>
      </c>
    </row>
    <row r="17" spans="1:22" x14ac:dyDescent="0.2">
      <c r="A17">
        <v>14</v>
      </c>
      <c r="B17" s="1">
        <v>2019</v>
      </c>
      <c r="C17" s="1">
        <v>21.8</v>
      </c>
      <c r="D17" s="1">
        <v>2.9</v>
      </c>
      <c r="E17" s="8">
        <v>10.4</v>
      </c>
      <c r="F17" s="1">
        <f t="shared" si="0"/>
        <v>8.5000000000000018</v>
      </c>
      <c r="V17">
        <v>19.012805838539439</v>
      </c>
    </row>
    <row r="18" spans="1:22" x14ac:dyDescent="0.2">
      <c r="A18">
        <v>15</v>
      </c>
      <c r="B18" s="1">
        <v>2020</v>
      </c>
      <c r="C18" s="1">
        <v>17.100000000000001</v>
      </c>
      <c r="D18" s="1">
        <v>5</v>
      </c>
      <c r="E18" s="29">
        <v>8.1</v>
      </c>
      <c r="F18" s="1">
        <f t="shared" si="0"/>
        <v>4.0000000000000018</v>
      </c>
      <c r="O18" t="s">
        <v>35</v>
      </c>
      <c r="V18">
        <v>17.558055035629629</v>
      </c>
    </row>
    <row r="19" spans="1:22" x14ac:dyDescent="0.2">
      <c r="A19">
        <v>16</v>
      </c>
      <c r="B19" s="1">
        <v>2021</v>
      </c>
      <c r="C19" s="1">
        <v>26</v>
      </c>
      <c r="D19" s="1">
        <v>3.7</v>
      </c>
      <c r="E19" s="29">
        <v>14.5</v>
      </c>
      <c r="F19" s="1">
        <f t="shared" si="0"/>
        <v>7.8000000000000007</v>
      </c>
      <c r="V19">
        <v>20.02676566671029</v>
      </c>
    </row>
    <row r="20" spans="1:22" x14ac:dyDescent="0.2">
      <c r="A20">
        <v>17</v>
      </c>
      <c r="B20" s="1">
        <v>2022</v>
      </c>
      <c r="C20" s="1">
        <v>26.9</v>
      </c>
      <c r="D20" s="1">
        <v>5.7</v>
      </c>
      <c r="E20" s="29">
        <v>14.2</v>
      </c>
      <c r="F20" s="1">
        <f t="shared" si="0"/>
        <v>7</v>
      </c>
      <c r="O20" t="s">
        <v>36</v>
      </c>
      <c r="V20">
        <v>21.124814149245299</v>
      </c>
    </row>
    <row r="21" spans="1:22" x14ac:dyDescent="0.2">
      <c r="A21">
        <v>18</v>
      </c>
      <c r="B21" s="1">
        <v>2023</v>
      </c>
      <c r="C21" s="1">
        <v>26.8</v>
      </c>
      <c r="D21" s="1">
        <v>4.9000000000000004</v>
      </c>
      <c r="E21" s="29">
        <v>13.7</v>
      </c>
      <c r="F21" s="1">
        <f t="shared" si="0"/>
        <v>8.1999999999999993</v>
      </c>
      <c r="V21">
        <v>23.65737176052394</v>
      </c>
    </row>
    <row r="22" spans="1:22" x14ac:dyDescent="0.2">
      <c r="A22">
        <v>19</v>
      </c>
      <c r="B22" s="1">
        <v>2024</v>
      </c>
      <c r="C22" s="1">
        <v>17.5</v>
      </c>
      <c r="D22" s="1">
        <v>3</v>
      </c>
      <c r="E22" s="29">
        <v>8.4</v>
      </c>
      <c r="F22" s="1">
        <f t="shared" si="0"/>
        <v>6.1</v>
      </c>
      <c r="O22" t="s">
        <v>88</v>
      </c>
      <c r="V22">
        <v>17.79383352777695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E094-62C9-4AD5-80A7-9569E46EE5CE}">
  <dimension ref="A1:Z30"/>
  <sheetViews>
    <sheetView zoomScale="80" zoomScaleNormal="80" workbookViewId="0">
      <selection activeCell="S22" sqref="S22"/>
    </sheetView>
  </sheetViews>
  <sheetFormatPr baseColWidth="10" defaultColWidth="8.83203125" defaultRowHeight="15" x14ac:dyDescent="0.2"/>
  <sheetData>
    <row r="1" spans="1:26" x14ac:dyDescent="0.2">
      <c r="X1" t="s">
        <v>74</v>
      </c>
    </row>
    <row r="3" spans="1:26" ht="64" x14ac:dyDescent="0.2">
      <c r="A3" t="s">
        <v>92</v>
      </c>
      <c r="B3" s="2" t="s">
        <v>21</v>
      </c>
      <c r="C3" s="5" t="s">
        <v>22</v>
      </c>
      <c r="D3" s="2" t="s">
        <v>9</v>
      </c>
      <c r="E3" s="2" t="s">
        <v>23</v>
      </c>
      <c r="F3" s="2" t="s">
        <v>24</v>
      </c>
      <c r="G3" s="5" t="s">
        <v>29</v>
      </c>
      <c r="H3" s="5" t="s">
        <v>30</v>
      </c>
      <c r="I3" s="5" t="s">
        <v>31</v>
      </c>
      <c r="J3" s="7" t="s">
        <v>33</v>
      </c>
      <c r="K3" s="5" t="s">
        <v>25</v>
      </c>
      <c r="L3" s="5" t="s">
        <v>26</v>
      </c>
      <c r="M3" s="5" t="s">
        <v>27</v>
      </c>
      <c r="N3" s="5" t="s">
        <v>28</v>
      </c>
      <c r="O3" s="3" t="s">
        <v>39</v>
      </c>
      <c r="P3" s="3" t="s">
        <v>40</v>
      </c>
      <c r="Q3" s="3" t="s">
        <v>43</v>
      </c>
      <c r="R3" s="3" t="s">
        <v>44</v>
      </c>
      <c r="S3" s="5" t="s">
        <v>63</v>
      </c>
      <c r="T3" s="5" t="s">
        <v>65</v>
      </c>
      <c r="V3" s="3" t="s">
        <v>98</v>
      </c>
      <c r="W3" s="5" t="s">
        <v>99</v>
      </c>
      <c r="X3" s="5" t="s">
        <v>117</v>
      </c>
      <c r="Z3" t="s">
        <v>100</v>
      </c>
    </row>
    <row r="4" spans="1:26" x14ac:dyDescent="0.2">
      <c r="A4">
        <v>0</v>
      </c>
      <c r="B4">
        <v>2004</v>
      </c>
      <c r="C4">
        <v>43</v>
      </c>
      <c r="D4">
        <v>2</v>
      </c>
      <c r="E4">
        <v>2.9</v>
      </c>
      <c r="F4" s="22">
        <f>C4-D4-E4</f>
        <v>38.1</v>
      </c>
      <c r="G4">
        <v>35</v>
      </c>
      <c r="H4">
        <v>3</v>
      </c>
      <c r="I4">
        <v>3</v>
      </c>
      <c r="K4">
        <f>D4</f>
        <v>2</v>
      </c>
      <c r="L4">
        <f>C4-K4-M4</f>
        <v>33.9</v>
      </c>
      <c r="M4">
        <f>2.9+4.2</f>
        <v>7.1</v>
      </c>
      <c r="N4">
        <v>1.9</v>
      </c>
      <c r="O4">
        <v>6</v>
      </c>
      <c r="P4">
        <v>4</v>
      </c>
      <c r="Q4">
        <v>3</v>
      </c>
      <c r="R4">
        <v>3</v>
      </c>
      <c r="S4" t="s">
        <v>112</v>
      </c>
      <c r="T4" t="s">
        <v>73</v>
      </c>
      <c r="U4">
        <v>43</v>
      </c>
      <c r="V4">
        <v>43</v>
      </c>
      <c r="W4">
        <v>43</v>
      </c>
    </row>
    <row r="5" spans="1:26" x14ac:dyDescent="0.2">
      <c r="A5">
        <v>1</v>
      </c>
      <c r="B5">
        <v>2005</v>
      </c>
      <c r="C5">
        <v>46.7</v>
      </c>
      <c r="D5">
        <v>1</v>
      </c>
      <c r="E5">
        <v>4.5</v>
      </c>
      <c r="F5" s="22">
        <f t="shared" ref="F5:F17" si="0">C5-D5-E5</f>
        <v>41.2</v>
      </c>
      <c r="N5" t="s">
        <v>105</v>
      </c>
      <c r="U5">
        <v>43.733427302788947</v>
      </c>
      <c r="V5">
        <v>44.126645484814873</v>
      </c>
      <c r="W5">
        <v>43.728605858775943</v>
      </c>
    </row>
    <row r="6" spans="1:26" x14ac:dyDescent="0.2">
      <c r="A6">
        <v>2</v>
      </c>
      <c r="B6">
        <v>2006</v>
      </c>
      <c r="F6" s="22"/>
      <c r="U6">
        <v>44.881859447670813</v>
      </c>
      <c r="V6">
        <v>45.811788611609188</v>
      </c>
      <c r="W6">
        <v>44.901859923001417</v>
      </c>
    </row>
    <row r="7" spans="1:26" x14ac:dyDescent="0.2">
      <c r="A7">
        <v>3</v>
      </c>
      <c r="B7">
        <v>2007</v>
      </c>
      <c r="C7">
        <v>47.3</v>
      </c>
      <c r="D7">
        <v>1.5</v>
      </c>
      <c r="E7">
        <v>4</v>
      </c>
      <c r="F7" s="22">
        <f t="shared" si="0"/>
        <v>41.8</v>
      </c>
      <c r="U7">
        <v>46.51210292272075</v>
      </c>
      <c r="V7">
        <v>47.962201223260138</v>
      </c>
      <c r="W7">
        <v>46.588373920115977</v>
      </c>
    </row>
    <row r="8" spans="1:26" x14ac:dyDescent="0.2">
      <c r="A8">
        <v>4</v>
      </c>
      <c r="B8">
        <v>2008</v>
      </c>
      <c r="F8" s="22"/>
      <c r="U8">
        <v>48.361073534523157</v>
      </c>
      <c r="V8">
        <v>50.471456071030786</v>
      </c>
      <c r="W8">
        <v>48.646445011950519</v>
      </c>
    </row>
    <row r="9" spans="1:26" x14ac:dyDescent="0.2">
      <c r="A9">
        <v>5</v>
      </c>
      <c r="B9">
        <v>2009</v>
      </c>
      <c r="C9">
        <v>42</v>
      </c>
      <c r="D9">
        <v>1</v>
      </c>
      <c r="E9">
        <v>2.5</v>
      </c>
      <c r="F9" s="22">
        <f t="shared" si="0"/>
        <v>38.5</v>
      </c>
      <c r="J9" t="s">
        <v>113</v>
      </c>
      <c r="U9">
        <v>43.332171057784713</v>
      </c>
      <c r="V9">
        <v>45.647543496686772</v>
      </c>
      <c r="W9">
        <v>43.659553482972193</v>
      </c>
    </row>
    <row r="10" spans="1:26" x14ac:dyDescent="0.2">
      <c r="A10">
        <v>6</v>
      </c>
      <c r="B10">
        <v>2010</v>
      </c>
      <c r="F10" s="22"/>
      <c r="U10">
        <v>46.476775713331129</v>
      </c>
      <c r="V10">
        <v>49.441050005318388</v>
      </c>
      <c r="W10">
        <v>46.895697276210292</v>
      </c>
    </row>
    <row r="11" spans="1:26" x14ac:dyDescent="0.2">
      <c r="A11">
        <v>7</v>
      </c>
      <c r="B11">
        <v>2011</v>
      </c>
      <c r="C11">
        <v>36</v>
      </c>
      <c r="D11">
        <v>1</v>
      </c>
      <c r="E11">
        <v>2.4</v>
      </c>
      <c r="F11" s="22">
        <f t="shared" si="0"/>
        <v>32.6</v>
      </c>
      <c r="G11">
        <v>35</v>
      </c>
      <c r="H11">
        <v>3</v>
      </c>
      <c r="I11">
        <v>10</v>
      </c>
      <c r="J11" t="s">
        <v>88</v>
      </c>
      <c r="U11">
        <v>31.426235868540221</v>
      </c>
      <c r="V11">
        <v>32.172884450051058</v>
      </c>
      <c r="W11">
        <v>31.42359791245892</v>
      </c>
    </row>
    <row r="12" spans="1:26" x14ac:dyDescent="0.2">
      <c r="A12">
        <v>8</v>
      </c>
      <c r="B12">
        <v>2012</v>
      </c>
      <c r="F12" s="22"/>
      <c r="U12">
        <v>26.673676717340872</v>
      </c>
      <c r="V12">
        <v>27.748467596762261</v>
      </c>
      <c r="W12">
        <v>26.738986501618179</v>
      </c>
    </row>
    <row r="13" spans="1:26" x14ac:dyDescent="0.2">
      <c r="A13">
        <v>9</v>
      </c>
      <c r="B13">
        <v>2013</v>
      </c>
      <c r="C13">
        <v>36</v>
      </c>
      <c r="D13">
        <v>1</v>
      </c>
      <c r="E13">
        <v>3.7</v>
      </c>
      <c r="F13" s="22">
        <f t="shared" si="0"/>
        <v>31.3</v>
      </c>
      <c r="G13">
        <v>35</v>
      </c>
      <c r="H13">
        <v>3</v>
      </c>
      <c r="I13">
        <v>10</v>
      </c>
      <c r="U13">
        <v>28.892699454800439</v>
      </c>
      <c r="V13">
        <v>31.03079378375584</v>
      </c>
      <c r="W13">
        <v>29.23057479945091</v>
      </c>
    </row>
    <row r="14" spans="1:26" x14ac:dyDescent="0.2">
      <c r="A14">
        <v>10</v>
      </c>
      <c r="B14">
        <v>2014</v>
      </c>
      <c r="F14" s="22"/>
      <c r="U14">
        <v>33.654404567612573</v>
      </c>
      <c r="V14">
        <v>36.740906448778553</v>
      </c>
      <c r="W14">
        <v>34.195473216358693</v>
      </c>
    </row>
    <row r="15" spans="1:26" x14ac:dyDescent="0.2">
      <c r="A15">
        <v>11</v>
      </c>
      <c r="B15">
        <v>2015</v>
      </c>
      <c r="C15">
        <v>38</v>
      </c>
      <c r="D15">
        <v>1</v>
      </c>
      <c r="E15">
        <v>3.2</v>
      </c>
      <c r="F15" s="22">
        <f>C15-D15-E15</f>
        <v>33.799999999999997</v>
      </c>
      <c r="U15">
        <v>38.731822070651781</v>
      </c>
      <c r="V15">
        <v>42.46143251170021</v>
      </c>
      <c r="W15">
        <v>39.375745481128739</v>
      </c>
    </row>
    <row r="16" spans="1:26" x14ac:dyDescent="0.2">
      <c r="A16">
        <v>12</v>
      </c>
      <c r="B16">
        <v>2016</v>
      </c>
      <c r="F16" s="22"/>
      <c r="U16">
        <v>43.568298070367042</v>
      </c>
      <c r="V16">
        <v>47.760853604848457</v>
      </c>
      <c r="W16">
        <v>44.361960585938839</v>
      </c>
    </row>
    <row r="17" spans="1:23" x14ac:dyDescent="0.2">
      <c r="A17">
        <v>13</v>
      </c>
      <c r="B17">
        <v>2017</v>
      </c>
      <c r="C17">
        <v>47</v>
      </c>
      <c r="D17">
        <v>1</v>
      </c>
      <c r="E17">
        <v>4.5</v>
      </c>
      <c r="F17" s="22">
        <f t="shared" si="0"/>
        <v>41.5</v>
      </c>
      <c r="U17">
        <v>48.071644493834171</v>
      </c>
      <c r="V17">
        <v>52.373183840964018</v>
      </c>
      <c r="W17">
        <v>48.850065376297543</v>
      </c>
    </row>
    <row r="18" spans="1:23" x14ac:dyDescent="0.2">
      <c r="A18">
        <v>14</v>
      </c>
      <c r="B18">
        <v>2018</v>
      </c>
      <c r="V18">
        <v>56.391604821647761</v>
      </c>
      <c r="W18">
        <v>52.93808146998763</v>
      </c>
    </row>
    <row r="19" spans="1:23" x14ac:dyDescent="0.2">
      <c r="A19">
        <v>15</v>
      </c>
      <c r="B19">
        <v>2019</v>
      </c>
      <c r="V19">
        <v>59.631326103520138</v>
      </c>
      <c r="W19">
        <v>49.797938857757018</v>
      </c>
    </row>
    <row r="20" spans="1:23" x14ac:dyDescent="0.2">
      <c r="A20">
        <v>16</v>
      </c>
      <c r="B20">
        <v>2020</v>
      </c>
      <c r="V20">
        <v>62.258620404763192</v>
      </c>
      <c r="W20">
        <v>53.193396741449448</v>
      </c>
    </row>
    <row r="21" spans="1:23" x14ac:dyDescent="0.2">
      <c r="A21">
        <v>17</v>
      </c>
      <c r="B21">
        <v>2021</v>
      </c>
      <c r="V21">
        <v>64.290585843394098</v>
      </c>
      <c r="W21">
        <v>56.547357131431113</v>
      </c>
    </row>
    <row r="22" spans="1:23" x14ac:dyDescent="0.2">
      <c r="A22">
        <v>18</v>
      </c>
      <c r="B22">
        <v>2022</v>
      </c>
      <c r="V22">
        <v>65.911966720650327</v>
      </c>
      <c r="W22">
        <v>59.433070008629123</v>
      </c>
    </row>
    <row r="23" spans="1:23" x14ac:dyDescent="0.2">
      <c r="A23">
        <v>19</v>
      </c>
      <c r="B23">
        <v>2023</v>
      </c>
      <c r="V23">
        <v>67.041527340996225</v>
      </c>
      <c r="W23">
        <v>61.831614149539583</v>
      </c>
    </row>
    <row r="24" spans="1:23" x14ac:dyDescent="0.2">
      <c r="A24">
        <v>20</v>
      </c>
      <c r="B24">
        <v>2024</v>
      </c>
      <c r="V24">
        <v>67.940414557256915</v>
      </c>
      <c r="W24">
        <v>41.376975344382799</v>
      </c>
    </row>
    <row r="25" spans="1:23" x14ac:dyDescent="0.2">
      <c r="A25">
        <v>21</v>
      </c>
      <c r="B25">
        <v>2025</v>
      </c>
      <c r="V25">
        <v>68.60271530300966</v>
      </c>
      <c r="W25">
        <v>43.202030582109757</v>
      </c>
    </row>
    <row r="26" spans="1:23" x14ac:dyDescent="0.2">
      <c r="A26">
        <v>22</v>
      </c>
      <c r="B26">
        <v>2026</v>
      </c>
      <c r="V26">
        <v>69.097810670261339</v>
      </c>
      <c r="W26">
        <v>48.530571293913667</v>
      </c>
    </row>
    <row r="27" spans="1:23" x14ac:dyDescent="0.2">
      <c r="A27">
        <v>23</v>
      </c>
      <c r="B27">
        <v>2027</v>
      </c>
      <c r="V27">
        <v>69.471099618099387</v>
      </c>
      <c r="W27">
        <v>43.5549728087773</v>
      </c>
    </row>
    <row r="28" spans="1:23" x14ac:dyDescent="0.2">
      <c r="A28">
        <v>24</v>
      </c>
      <c r="B28">
        <v>2028</v>
      </c>
      <c r="V28">
        <v>69.753033015066492</v>
      </c>
      <c r="W28">
        <v>48.115626790984422</v>
      </c>
    </row>
    <row r="29" spans="1:23" x14ac:dyDescent="0.2">
      <c r="A29">
        <v>25</v>
      </c>
      <c r="B29">
        <v>2029</v>
      </c>
      <c r="V29">
        <v>69.997734612097688</v>
      </c>
      <c r="W29">
        <v>52.850796245098458</v>
      </c>
    </row>
    <row r="30" spans="1:23" x14ac:dyDescent="0.2">
      <c r="A30">
        <v>26</v>
      </c>
      <c r="B30">
        <v>2030</v>
      </c>
      <c r="V30">
        <v>70.170720521081378</v>
      </c>
      <c r="W30">
        <v>56.765421949750703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CFB8-650E-41D4-B365-E18F1B41B8E8}">
  <dimension ref="A1:W21"/>
  <sheetViews>
    <sheetView zoomScale="70" zoomScaleNormal="70" workbookViewId="0">
      <selection activeCell="L4" sqref="L4"/>
    </sheetView>
  </sheetViews>
  <sheetFormatPr baseColWidth="10" defaultColWidth="8.83203125" defaultRowHeight="15" x14ac:dyDescent="0.2"/>
  <cols>
    <col min="18" max="18" width="8.6640625" style="6"/>
  </cols>
  <sheetData>
    <row r="1" spans="1:23" x14ac:dyDescent="0.2">
      <c r="B1" t="s">
        <v>54</v>
      </c>
      <c r="W1" s="12" t="s">
        <v>75</v>
      </c>
    </row>
    <row r="2" spans="1:23" x14ac:dyDescent="0.2">
      <c r="O2" s="2"/>
    </row>
    <row r="3" spans="1:23" s="3" customFormat="1" ht="48" x14ac:dyDescent="0.2">
      <c r="A3" s="3" t="s">
        <v>92</v>
      </c>
      <c r="B3" s="2" t="s">
        <v>21</v>
      </c>
      <c r="C3" s="5" t="s">
        <v>22</v>
      </c>
      <c r="D3" s="5" t="s">
        <v>9</v>
      </c>
      <c r="E3" s="5" t="s">
        <v>23</v>
      </c>
      <c r="F3" s="5" t="s">
        <v>24</v>
      </c>
      <c r="G3" s="5" t="s">
        <v>29</v>
      </c>
      <c r="H3" s="5" t="s">
        <v>31</v>
      </c>
      <c r="I3" s="15" t="s">
        <v>25</v>
      </c>
      <c r="J3" s="15" t="s">
        <v>26</v>
      </c>
      <c r="K3" s="15" t="s">
        <v>27</v>
      </c>
      <c r="L3" s="15" t="s">
        <v>28</v>
      </c>
      <c r="M3" s="3" t="s">
        <v>39</v>
      </c>
      <c r="N3" s="3" t="s">
        <v>40</v>
      </c>
      <c r="O3" s="3" t="s">
        <v>43</v>
      </c>
      <c r="P3" s="3" t="s">
        <v>44</v>
      </c>
      <c r="Q3" s="3" t="s">
        <v>30</v>
      </c>
      <c r="R3" s="24" t="s">
        <v>66</v>
      </c>
      <c r="U3" s="3" t="s">
        <v>70</v>
      </c>
      <c r="V3" s="5" t="s">
        <v>63</v>
      </c>
      <c r="W3" s="5" t="s">
        <v>65</v>
      </c>
    </row>
    <row r="4" spans="1:23" s="16" customFormat="1" x14ac:dyDescent="0.2">
      <c r="A4" s="16">
        <v>0</v>
      </c>
      <c r="B4" s="16">
        <v>1991</v>
      </c>
      <c r="C4" s="17">
        <v>51</v>
      </c>
      <c r="D4" s="17">
        <f>11.5+25</f>
        <v>36.5</v>
      </c>
      <c r="E4" s="17">
        <v>7.5</v>
      </c>
      <c r="F4" s="17">
        <f>C4-D4-E4</f>
        <v>7</v>
      </c>
      <c r="G4" s="17">
        <v>16</v>
      </c>
      <c r="H4" s="17">
        <v>0.5</v>
      </c>
      <c r="I4" s="23">
        <f>D4-K4+E4</f>
        <v>19</v>
      </c>
      <c r="J4">
        <f>F4</f>
        <v>7</v>
      </c>
      <c r="K4" s="18">
        <v>25</v>
      </c>
      <c r="L4" s="18">
        <v>1.6</v>
      </c>
      <c r="M4" s="18">
        <v>10</v>
      </c>
      <c r="N4" s="18">
        <v>7.5</v>
      </c>
      <c r="O4" s="16">
        <v>5</v>
      </c>
      <c r="P4" s="16">
        <v>5</v>
      </c>
      <c r="Q4" s="16">
        <v>5</v>
      </c>
      <c r="R4" s="25"/>
      <c r="U4">
        <v>51</v>
      </c>
      <c r="V4" s="16" t="s">
        <v>116</v>
      </c>
      <c r="W4" s="16" t="s">
        <v>71</v>
      </c>
    </row>
    <row r="5" spans="1:23" s="16" customFormat="1" x14ac:dyDescent="0.2">
      <c r="A5" s="16">
        <v>1</v>
      </c>
      <c r="B5" s="16">
        <v>1992</v>
      </c>
      <c r="C5" s="17">
        <v>24</v>
      </c>
      <c r="D5" s="17">
        <f>2.5+10.5</f>
        <v>13</v>
      </c>
      <c r="E5" s="17">
        <v>2.9</v>
      </c>
      <c r="F5" s="17">
        <f t="shared" ref="F5:F19" si="0">C5-D5-E5</f>
        <v>8.1</v>
      </c>
      <c r="G5" s="17">
        <v>34</v>
      </c>
      <c r="H5" s="17">
        <v>0</v>
      </c>
      <c r="I5" s="18"/>
      <c r="J5" s="18"/>
      <c r="K5" s="18"/>
      <c r="L5" s="18"/>
      <c r="M5" s="18"/>
      <c r="N5" s="18"/>
      <c r="R5" s="6" t="s">
        <v>69</v>
      </c>
      <c r="U5">
        <v>22.280102449928702</v>
      </c>
    </row>
    <row r="6" spans="1:23" x14ac:dyDescent="0.2">
      <c r="A6">
        <v>2</v>
      </c>
      <c r="B6">
        <v>1993</v>
      </c>
      <c r="C6">
        <v>22</v>
      </c>
      <c r="D6">
        <v>12.8</v>
      </c>
      <c r="E6">
        <v>1.8</v>
      </c>
      <c r="F6" s="17">
        <f t="shared" si="0"/>
        <v>7.3999999999999995</v>
      </c>
      <c r="G6">
        <v>38</v>
      </c>
      <c r="H6">
        <v>0</v>
      </c>
      <c r="I6">
        <f>D6-K6+E6</f>
        <v>4.8</v>
      </c>
      <c r="J6">
        <f>F6</f>
        <v>7.3999999999999995</v>
      </c>
      <c r="K6">
        <v>9.8000000000000007</v>
      </c>
      <c r="L6">
        <v>1.6</v>
      </c>
      <c r="U6">
        <v>22.635528498287989</v>
      </c>
    </row>
    <row r="7" spans="1:23" x14ac:dyDescent="0.2">
      <c r="A7">
        <v>3</v>
      </c>
      <c r="B7">
        <v>1994</v>
      </c>
      <c r="C7">
        <v>28</v>
      </c>
      <c r="D7">
        <v>14.3</v>
      </c>
      <c r="E7">
        <v>4</v>
      </c>
      <c r="F7" s="17">
        <f t="shared" si="0"/>
        <v>9.6999999999999993</v>
      </c>
      <c r="G7">
        <v>49</v>
      </c>
      <c r="H7">
        <v>0.5</v>
      </c>
      <c r="U7">
        <v>24.15622918497828</v>
      </c>
    </row>
    <row r="8" spans="1:23" x14ac:dyDescent="0.2">
      <c r="A8" s="16">
        <v>4</v>
      </c>
      <c r="B8">
        <v>1995</v>
      </c>
      <c r="C8">
        <v>30</v>
      </c>
      <c r="D8">
        <v>17.100000000000001</v>
      </c>
      <c r="E8">
        <v>1.9</v>
      </c>
      <c r="F8" s="17">
        <f t="shared" si="0"/>
        <v>10.999999999999998</v>
      </c>
      <c r="G8">
        <v>34</v>
      </c>
      <c r="H8">
        <v>1</v>
      </c>
      <c r="U8">
        <v>21.710569008245631</v>
      </c>
    </row>
    <row r="9" spans="1:23" x14ac:dyDescent="0.2">
      <c r="A9" s="16">
        <v>5</v>
      </c>
      <c r="B9">
        <v>1996</v>
      </c>
      <c r="C9">
        <v>31</v>
      </c>
      <c r="D9">
        <v>19.5</v>
      </c>
      <c r="E9">
        <v>1.2</v>
      </c>
      <c r="F9" s="17">
        <f t="shared" si="0"/>
        <v>10.3</v>
      </c>
      <c r="G9">
        <v>41</v>
      </c>
      <c r="H9">
        <v>0.5</v>
      </c>
      <c r="U9">
        <v>22.85913233715495</v>
      </c>
    </row>
    <row r="10" spans="1:23" x14ac:dyDescent="0.2">
      <c r="A10">
        <v>6</v>
      </c>
      <c r="B10">
        <v>1997</v>
      </c>
      <c r="C10">
        <v>37</v>
      </c>
      <c r="D10">
        <v>23</v>
      </c>
      <c r="E10">
        <v>2.5</v>
      </c>
      <c r="F10" s="17">
        <f t="shared" si="0"/>
        <v>11.5</v>
      </c>
      <c r="G10">
        <v>32</v>
      </c>
      <c r="H10">
        <v>0</v>
      </c>
      <c r="U10">
        <v>25.5215408085358</v>
      </c>
    </row>
    <row r="11" spans="1:23" x14ac:dyDescent="0.2">
      <c r="A11">
        <v>7</v>
      </c>
      <c r="B11">
        <v>1998</v>
      </c>
      <c r="C11">
        <v>43</v>
      </c>
      <c r="D11">
        <v>23.5</v>
      </c>
      <c r="E11">
        <v>3.2</v>
      </c>
      <c r="F11" s="17">
        <f t="shared" si="0"/>
        <v>16.3</v>
      </c>
      <c r="G11">
        <v>29</v>
      </c>
      <c r="H11">
        <v>0</v>
      </c>
      <c r="U11">
        <v>28.816952710679281</v>
      </c>
    </row>
    <row r="12" spans="1:23" x14ac:dyDescent="0.2">
      <c r="A12" s="16">
        <v>8</v>
      </c>
      <c r="B12">
        <v>1999</v>
      </c>
      <c r="C12">
        <v>42.5</v>
      </c>
      <c r="D12">
        <v>26</v>
      </c>
      <c r="E12">
        <v>4</v>
      </c>
      <c r="F12" s="17">
        <f t="shared" si="0"/>
        <v>12.5</v>
      </c>
      <c r="G12">
        <v>30</v>
      </c>
      <c r="H12">
        <v>0</v>
      </c>
      <c r="U12">
        <v>32.427768734270721</v>
      </c>
    </row>
    <row r="13" spans="1:23" x14ac:dyDescent="0.2">
      <c r="A13" s="16">
        <v>9</v>
      </c>
      <c r="B13">
        <v>2000</v>
      </c>
      <c r="C13">
        <v>42</v>
      </c>
      <c r="D13" s="35">
        <v>21.5</v>
      </c>
      <c r="E13">
        <v>4.0999999999999996</v>
      </c>
      <c r="F13" s="17">
        <f t="shared" si="0"/>
        <v>16.399999999999999</v>
      </c>
      <c r="G13">
        <v>21</v>
      </c>
      <c r="H13">
        <v>1</v>
      </c>
      <c r="R13" s="6" t="s">
        <v>114</v>
      </c>
      <c r="U13">
        <v>36.145641399767172</v>
      </c>
    </row>
    <row r="14" spans="1:23" x14ac:dyDescent="0.2">
      <c r="A14">
        <v>10</v>
      </c>
      <c r="B14">
        <v>2001</v>
      </c>
      <c r="C14">
        <v>49.5</v>
      </c>
      <c r="D14">
        <v>25.5</v>
      </c>
      <c r="E14">
        <v>5.6</v>
      </c>
      <c r="F14" s="17">
        <f t="shared" si="0"/>
        <v>18.399999999999999</v>
      </c>
      <c r="G14">
        <v>23</v>
      </c>
      <c r="H14">
        <v>0</v>
      </c>
      <c r="U14">
        <v>39.880106583213092</v>
      </c>
    </row>
    <row r="15" spans="1:23" x14ac:dyDescent="0.2">
      <c r="A15">
        <v>11</v>
      </c>
      <c r="B15">
        <v>2002</v>
      </c>
      <c r="C15">
        <v>49</v>
      </c>
      <c r="D15">
        <v>25.7</v>
      </c>
      <c r="E15">
        <v>5.5</v>
      </c>
      <c r="F15" s="17">
        <f t="shared" si="0"/>
        <v>17.8</v>
      </c>
      <c r="G15">
        <v>22</v>
      </c>
      <c r="H15">
        <v>0.5</v>
      </c>
      <c r="U15">
        <v>43.499634635932019</v>
      </c>
    </row>
    <row r="16" spans="1:23" x14ac:dyDescent="0.2">
      <c r="A16" s="16">
        <v>12</v>
      </c>
      <c r="B16">
        <v>2003</v>
      </c>
      <c r="C16">
        <v>45</v>
      </c>
      <c r="D16">
        <f>9+14.5</f>
        <v>23.5</v>
      </c>
      <c r="E16">
        <v>2.4</v>
      </c>
      <c r="F16" s="17">
        <f t="shared" si="0"/>
        <v>19.100000000000001</v>
      </c>
      <c r="G16">
        <v>20</v>
      </c>
      <c r="H16">
        <v>0</v>
      </c>
      <c r="R16" s="6" t="s">
        <v>67</v>
      </c>
      <c r="U16">
        <v>43.682488091091102</v>
      </c>
    </row>
    <row r="17" spans="1:21" x14ac:dyDescent="0.2">
      <c r="A17" s="16">
        <v>13</v>
      </c>
      <c r="B17">
        <v>2004</v>
      </c>
      <c r="C17">
        <v>50</v>
      </c>
      <c r="D17">
        <f>12+16.5</f>
        <v>28.5</v>
      </c>
      <c r="E17">
        <v>2</v>
      </c>
      <c r="F17" s="17">
        <f t="shared" si="0"/>
        <v>19.5</v>
      </c>
      <c r="G17">
        <v>22.5</v>
      </c>
      <c r="H17">
        <v>0.5</v>
      </c>
      <c r="R17" s="6" t="s">
        <v>68</v>
      </c>
      <c r="U17">
        <v>45.49679122796114</v>
      </c>
    </row>
    <row r="18" spans="1:21" x14ac:dyDescent="0.2">
      <c r="A18">
        <v>14</v>
      </c>
      <c r="B18">
        <v>2005</v>
      </c>
      <c r="C18">
        <v>49</v>
      </c>
      <c r="D18">
        <f>12.5+16.8</f>
        <v>29.3</v>
      </c>
      <c r="E18">
        <v>2</v>
      </c>
      <c r="F18" s="17">
        <f t="shared" si="0"/>
        <v>17.7</v>
      </c>
      <c r="G18">
        <v>16.5</v>
      </c>
      <c r="H18">
        <v>0</v>
      </c>
      <c r="U18">
        <v>48.362592298221628</v>
      </c>
    </row>
    <row r="19" spans="1:21" x14ac:dyDescent="0.2">
      <c r="A19">
        <v>15</v>
      </c>
      <c r="B19">
        <v>2006</v>
      </c>
      <c r="C19">
        <v>46</v>
      </c>
      <c r="D19" s="35">
        <f>10+15.5</f>
        <v>25.5</v>
      </c>
      <c r="E19">
        <v>2</v>
      </c>
      <c r="F19" s="17">
        <f t="shared" si="0"/>
        <v>18.5</v>
      </c>
      <c r="G19">
        <v>16</v>
      </c>
      <c r="H19">
        <v>0</v>
      </c>
      <c r="U19">
        <v>51.26307360613464</v>
      </c>
    </row>
    <row r="21" spans="1:21" x14ac:dyDescent="0.2">
      <c r="D21" t="s">
        <v>97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Summary of sites</vt:lpstr>
      <vt:lpstr>Sensitivity analysis</vt:lpstr>
      <vt:lpstr>Geoffrey Bay</vt:lpstr>
      <vt:lpstr>Bonaire</vt:lpstr>
      <vt:lpstr>Moorea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Browne</dc:creator>
  <cp:lastModifiedBy>Ekaterina Ovsyanikova</cp:lastModifiedBy>
  <dcterms:created xsi:type="dcterms:W3CDTF">2023-06-02T00:45:43Z</dcterms:created>
  <dcterms:modified xsi:type="dcterms:W3CDTF">2025-08-10T13:09:03Z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2023-06-02T00:45:44Z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6a5ccf03-00da-4448-9ec1-67997cd21137</vt:lpwstr>
  </property>
  <property fmtid="{D5CDD505-2E9C-101B-9397-08002B2CF9AE}" pid="8" name="MSIP_Label_0f488380-630a-4f55-a077-a19445e3f360_ContentBits">
    <vt:lpwstr>0</vt:lpwstr>
  </property>
</Properties>
</file>