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q-my.sharepoint.com/personal/uqrbutto_uq_edu_au/Documents/PhD_proj_pollution_on_coral_reefs/Coral_model_Rios_branch_1_old/Mymidon reef from NB/"/>
    </mc:Choice>
  </mc:AlternateContent>
  <xr:revisionPtr revIDLastSave="85" documentId="13_ncr:1_{36BD52FB-0986-41D5-9CA9-E0F029FDC846}" xr6:coauthVersionLast="47" xr6:coauthVersionMax="47" xr10:uidLastSave="{A7EE4BDA-36A8-455A-8195-C644DD743191}"/>
  <bookViews>
    <workbookView minimized="1" xWindow="5190" yWindow="3210" windowWidth="14440" windowHeight="7300" firstSheet="4" activeTab="4" xr2:uid="{90DF9A69-CFDF-4D32-83DF-CAF20B6BF8EA}"/>
  </bookViews>
  <sheets>
    <sheet name="Summary of sites" sheetId="1" r:id="rId1"/>
    <sheet name="Hypotheticals" sheetId="2" r:id="rId2"/>
    <sheet name="Sheet8" sheetId="12" r:id="rId3"/>
    <sheet name="Sensitivity analysis" sheetId="11" r:id="rId4"/>
    <sheet name="Geoffrey Ba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4" i="1"/>
  <c r="Q16" i="11"/>
  <c r="H12" i="2"/>
  <c r="E17" i="2"/>
  <c r="E16" i="2"/>
  <c r="E15" i="2"/>
  <c r="E14" i="2"/>
  <c r="E13" i="2"/>
  <c r="E11" i="2"/>
  <c r="E9" i="2"/>
  <c r="E7" i="2"/>
  <c r="E5" i="2"/>
  <c r="C17" i="2"/>
  <c r="C16" i="2"/>
  <c r="C15" i="2"/>
  <c r="C14" i="2"/>
  <c r="C13" i="2"/>
  <c r="C11" i="2"/>
  <c r="C9" i="2"/>
  <c r="C7" i="2"/>
  <c r="C5" i="2"/>
  <c r="E3" i="12" l="1"/>
  <c r="F3" i="12"/>
  <c r="E4" i="12"/>
  <c r="F4" i="12"/>
  <c r="E5" i="12"/>
  <c r="F5" i="12"/>
  <c r="E6" i="12"/>
  <c r="F6" i="12"/>
  <c r="E7" i="12"/>
  <c r="F7" i="12"/>
  <c r="E8" i="12"/>
  <c r="F8" i="12"/>
  <c r="E9" i="12"/>
  <c r="F9" i="12"/>
  <c r="E10" i="12"/>
  <c r="F10" i="12"/>
  <c r="E11" i="12"/>
  <c r="F11" i="12"/>
  <c r="E12" i="12"/>
  <c r="F12" i="12"/>
  <c r="E13" i="12"/>
  <c r="F13" i="12"/>
  <c r="E14" i="12"/>
  <c r="F14" i="12"/>
  <c r="E15" i="12"/>
  <c r="F15" i="12"/>
  <c r="E16" i="12"/>
  <c r="F16" i="12"/>
  <c r="E17" i="12"/>
  <c r="F17" i="12"/>
  <c r="E18" i="12"/>
  <c r="F18" i="12"/>
  <c r="E19" i="12"/>
  <c r="F19" i="12"/>
  <c r="E20" i="12"/>
  <c r="F20" i="12"/>
  <c r="E21" i="12"/>
  <c r="F21" i="12"/>
  <c r="F2" i="12"/>
  <c r="E2" i="12"/>
  <c r="C24" i="12"/>
  <c r="B24" i="12"/>
  <c r="B25" i="12" s="1"/>
  <c r="C25" i="12"/>
  <c r="O76" i="11"/>
  <c r="T76" i="11" s="1"/>
  <c r="N76" i="11"/>
  <c r="S76" i="11" s="1"/>
  <c r="M76" i="11"/>
  <c r="R76" i="11" s="1"/>
  <c r="L76" i="11"/>
  <c r="Q76" i="11" s="1"/>
  <c r="O75" i="11"/>
  <c r="T75" i="11" s="1"/>
  <c r="N75" i="11"/>
  <c r="S75" i="11" s="1"/>
  <c r="M75" i="11"/>
  <c r="R75" i="11" s="1"/>
  <c r="L75" i="11"/>
  <c r="Q75" i="11" s="1"/>
  <c r="O74" i="11"/>
  <c r="T74" i="11" s="1"/>
  <c r="N74" i="11"/>
  <c r="S74" i="11" s="1"/>
  <c r="M74" i="11"/>
  <c r="R74" i="11" s="1"/>
  <c r="L74" i="11"/>
  <c r="Q74" i="11" s="1"/>
  <c r="O73" i="11"/>
  <c r="T73" i="11" s="1"/>
  <c r="N73" i="11"/>
  <c r="S73" i="11" s="1"/>
  <c r="M73" i="11"/>
  <c r="R73" i="11" s="1"/>
  <c r="L73" i="11"/>
  <c r="Q73" i="11" s="1"/>
  <c r="O71" i="11"/>
  <c r="T71" i="11" s="1"/>
  <c r="N71" i="11"/>
  <c r="S71" i="11" s="1"/>
  <c r="M71" i="11"/>
  <c r="R71" i="11" s="1"/>
  <c r="L71" i="11"/>
  <c r="Q71" i="11" s="1"/>
  <c r="O69" i="11"/>
  <c r="T69" i="11" s="1"/>
  <c r="N69" i="11"/>
  <c r="S69" i="11" s="1"/>
  <c r="M69" i="11"/>
  <c r="R69" i="11" s="1"/>
  <c r="L69" i="11"/>
  <c r="Q69" i="11" s="1"/>
  <c r="O67" i="11"/>
  <c r="T67" i="11" s="1"/>
  <c r="N67" i="11"/>
  <c r="S67" i="11" s="1"/>
  <c r="M67" i="11"/>
  <c r="R67" i="11" s="1"/>
  <c r="L67" i="11"/>
  <c r="Q67" i="11" s="1"/>
  <c r="O65" i="11"/>
  <c r="T65" i="11" s="1"/>
  <c r="N65" i="11"/>
  <c r="S65" i="11" s="1"/>
  <c r="M65" i="11"/>
  <c r="R65" i="11" s="1"/>
  <c r="L65" i="11"/>
  <c r="Q65" i="11" s="1"/>
  <c r="D25" i="12"/>
  <c r="C23" i="12"/>
  <c r="D23" i="12"/>
  <c r="D24" i="12" s="1"/>
  <c r="B23" i="12"/>
  <c r="O61" i="11"/>
  <c r="T61" i="11" s="1"/>
  <c r="N61" i="11"/>
  <c r="S61" i="11" s="1"/>
  <c r="M61" i="11"/>
  <c r="R61" i="11" s="1"/>
  <c r="L61" i="11"/>
  <c r="Q61" i="11" s="1"/>
  <c r="O60" i="11"/>
  <c r="T60" i="11" s="1"/>
  <c r="N60" i="11"/>
  <c r="S60" i="11" s="1"/>
  <c r="M60" i="11"/>
  <c r="R60" i="11" s="1"/>
  <c r="L60" i="11"/>
  <c r="Q60" i="11" s="1"/>
  <c r="O59" i="11"/>
  <c r="T59" i="11" s="1"/>
  <c r="N59" i="11"/>
  <c r="S59" i="11" s="1"/>
  <c r="M59" i="11"/>
  <c r="R59" i="11" s="1"/>
  <c r="L59" i="11"/>
  <c r="Q59" i="11" s="1"/>
  <c r="O58" i="11"/>
  <c r="T58" i="11" s="1"/>
  <c r="N58" i="11"/>
  <c r="S58" i="11" s="1"/>
  <c r="M58" i="11"/>
  <c r="R58" i="11" s="1"/>
  <c r="L58" i="11"/>
  <c r="Q58" i="11" s="1"/>
  <c r="O56" i="11"/>
  <c r="T56" i="11" s="1"/>
  <c r="N56" i="11"/>
  <c r="S56" i="11" s="1"/>
  <c r="M56" i="11"/>
  <c r="R56" i="11" s="1"/>
  <c r="L56" i="11"/>
  <c r="Q56" i="11" s="1"/>
  <c r="O54" i="11"/>
  <c r="T54" i="11" s="1"/>
  <c r="N54" i="11"/>
  <c r="S54" i="11" s="1"/>
  <c r="M54" i="11"/>
  <c r="R54" i="11" s="1"/>
  <c r="L54" i="11"/>
  <c r="Q54" i="11" s="1"/>
  <c r="O52" i="11"/>
  <c r="T52" i="11" s="1"/>
  <c r="N52" i="11"/>
  <c r="S52" i="11" s="1"/>
  <c r="M52" i="11"/>
  <c r="R52" i="11" s="1"/>
  <c r="L52" i="11"/>
  <c r="Q52" i="11" s="1"/>
  <c r="O50" i="11"/>
  <c r="T50" i="11" s="1"/>
  <c r="N50" i="11"/>
  <c r="S50" i="11" s="1"/>
  <c r="M50" i="11"/>
  <c r="R50" i="11" s="1"/>
  <c r="L50" i="11"/>
  <c r="Q50" i="11" s="1"/>
  <c r="O46" i="11"/>
  <c r="T46" i="11" s="1"/>
  <c r="N46" i="11"/>
  <c r="S46" i="11" s="1"/>
  <c r="M46" i="11"/>
  <c r="R46" i="11" s="1"/>
  <c r="L46" i="11"/>
  <c r="Q46" i="11" s="1"/>
  <c r="O45" i="11"/>
  <c r="T45" i="11" s="1"/>
  <c r="N45" i="11"/>
  <c r="S45" i="11" s="1"/>
  <c r="M45" i="11"/>
  <c r="R45" i="11" s="1"/>
  <c r="L45" i="11"/>
  <c r="Q45" i="11" s="1"/>
  <c r="O44" i="11"/>
  <c r="T44" i="11" s="1"/>
  <c r="N44" i="11"/>
  <c r="S44" i="11" s="1"/>
  <c r="M44" i="11"/>
  <c r="R44" i="11" s="1"/>
  <c r="L44" i="11"/>
  <c r="Q44" i="11" s="1"/>
  <c r="O43" i="11"/>
  <c r="T43" i="11" s="1"/>
  <c r="N43" i="11"/>
  <c r="S43" i="11" s="1"/>
  <c r="M43" i="11"/>
  <c r="R43" i="11" s="1"/>
  <c r="L43" i="11"/>
  <c r="Q43" i="11" s="1"/>
  <c r="O41" i="11"/>
  <c r="T41" i="11" s="1"/>
  <c r="N41" i="11"/>
  <c r="S41" i="11" s="1"/>
  <c r="M41" i="11"/>
  <c r="R41" i="11" s="1"/>
  <c r="L41" i="11"/>
  <c r="Q41" i="11" s="1"/>
  <c r="O39" i="11"/>
  <c r="T39" i="11" s="1"/>
  <c r="N39" i="11"/>
  <c r="S39" i="11" s="1"/>
  <c r="M39" i="11"/>
  <c r="R39" i="11" s="1"/>
  <c r="L39" i="11"/>
  <c r="Q39" i="11" s="1"/>
  <c r="O37" i="11"/>
  <c r="T37" i="11" s="1"/>
  <c r="N37" i="11"/>
  <c r="S37" i="11" s="1"/>
  <c r="M37" i="11"/>
  <c r="R37" i="11" s="1"/>
  <c r="L37" i="11"/>
  <c r="Q37" i="11" s="1"/>
  <c r="O35" i="11"/>
  <c r="T35" i="11" s="1"/>
  <c r="N35" i="11"/>
  <c r="S35" i="11" s="1"/>
  <c r="M35" i="11"/>
  <c r="R35" i="11" s="1"/>
  <c r="L35" i="11"/>
  <c r="Q35" i="11" s="1"/>
  <c r="O31" i="11"/>
  <c r="T31" i="11" s="1"/>
  <c r="N31" i="11"/>
  <c r="S31" i="11" s="1"/>
  <c r="M31" i="11"/>
  <c r="R31" i="11" s="1"/>
  <c r="L31" i="11"/>
  <c r="Q31" i="11" s="1"/>
  <c r="O30" i="11"/>
  <c r="T30" i="11" s="1"/>
  <c r="N30" i="11"/>
  <c r="S30" i="11" s="1"/>
  <c r="M30" i="11"/>
  <c r="R30" i="11" s="1"/>
  <c r="L30" i="11"/>
  <c r="Q30" i="11" s="1"/>
  <c r="O29" i="11"/>
  <c r="T29" i="11" s="1"/>
  <c r="N29" i="11"/>
  <c r="S29" i="11" s="1"/>
  <c r="M29" i="11"/>
  <c r="R29" i="11" s="1"/>
  <c r="L29" i="11"/>
  <c r="Q29" i="11" s="1"/>
  <c r="O28" i="11"/>
  <c r="T28" i="11" s="1"/>
  <c r="N28" i="11"/>
  <c r="S28" i="11" s="1"/>
  <c r="M28" i="11"/>
  <c r="R28" i="11" s="1"/>
  <c r="L28" i="11"/>
  <c r="Q28" i="11" s="1"/>
  <c r="O26" i="11"/>
  <c r="T26" i="11" s="1"/>
  <c r="N26" i="11"/>
  <c r="S26" i="11" s="1"/>
  <c r="M26" i="11"/>
  <c r="R26" i="11" s="1"/>
  <c r="L26" i="11"/>
  <c r="Q26" i="11" s="1"/>
  <c r="O24" i="11"/>
  <c r="T24" i="11" s="1"/>
  <c r="N24" i="11"/>
  <c r="S24" i="11" s="1"/>
  <c r="M24" i="11"/>
  <c r="R24" i="11" s="1"/>
  <c r="L24" i="11"/>
  <c r="Q24" i="11" s="1"/>
  <c r="O22" i="11"/>
  <c r="T22" i="11" s="1"/>
  <c r="N22" i="11"/>
  <c r="S22" i="11" s="1"/>
  <c r="M22" i="11"/>
  <c r="R22" i="11" s="1"/>
  <c r="L22" i="11"/>
  <c r="Q22" i="11" s="1"/>
  <c r="O20" i="11"/>
  <c r="T20" i="11" s="1"/>
  <c r="N20" i="11"/>
  <c r="S20" i="11" s="1"/>
  <c r="M20" i="11"/>
  <c r="R20" i="11" s="1"/>
  <c r="L20" i="11"/>
  <c r="Q20" i="11" s="1"/>
  <c r="M5" i="11"/>
  <c r="R5" i="11" s="1"/>
  <c r="N5" i="11"/>
  <c r="S5" i="11" s="1"/>
  <c r="O5" i="11"/>
  <c r="T5" i="11" s="1"/>
  <c r="L5" i="11"/>
  <c r="Q5" i="11" s="1"/>
  <c r="L7" i="11" l="1"/>
  <c r="Q7" i="11" s="1"/>
  <c r="M7" i="11"/>
  <c r="R7" i="11" s="1"/>
  <c r="N7" i="11"/>
  <c r="S7" i="11" s="1"/>
  <c r="O7" i="11"/>
  <c r="T7" i="11" s="1"/>
  <c r="L9" i="11"/>
  <c r="Q9" i="11" s="1"/>
  <c r="M9" i="11"/>
  <c r="R9" i="11" s="1"/>
  <c r="N9" i="11"/>
  <c r="S9" i="11" s="1"/>
  <c r="O9" i="11"/>
  <c r="T9" i="11" s="1"/>
  <c r="L11" i="11"/>
  <c r="Q11" i="11" s="1"/>
  <c r="M11" i="11"/>
  <c r="R11" i="11" s="1"/>
  <c r="N11" i="11"/>
  <c r="S11" i="11" s="1"/>
  <c r="O11" i="11"/>
  <c r="T11" i="11" s="1"/>
  <c r="L13" i="11"/>
  <c r="Q13" i="11" s="1"/>
  <c r="M13" i="11"/>
  <c r="R13" i="11" s="1"/>
  <c r="N13" i="11"/>
  <c r="S13" i="11" s="1"/>
  <c r="O13" i="11"/>
  <c r="T13" i="11" s="1"/>
  <c r="L14" i="11"/>
  <c r="Q14" i="11" s="1"/>
  <c r="M14" i="11"/>
  <c r="R14" i="11" s="1"/>
  <c r="N14" i="11"/>
  <c r="S14" i="11" s="1"/>
  <c r="O14" i="11"/>
  <c r="T14" i="11" s="1"/>
  <c r="L15" i="11"/>
  <c r="Q15" i="11" s="1"/>
  <c r="M15" i="11"/>
  <c r="R15" i="11" s="1"/>
  <c r="N15" i="11"/>
  <c r="S15" i="11" s="1"/>
  <c r="O15" i="11"/>
  <c r="T15" i="11" s="1"/>
  <c r="L16" i="11"/>
  <c r="M16" i="11"/>
  <c r="R16" i="11" s="1"/>
  <c r="N16" i="11"/>
  <c r="S16" i="11" s="1"/>
  <c r="O16" i="11"/>
  <c r="T16" i="11" s="1"/>
  <c r="D18" i="4" l="1"/>
  <c r="D19" i="4"/>
  <c r="D20" i="4"/>
  <c r="I14" i="4"/>
  <c r="I13" i="4"/>
  <c r="I12" i="4"/>
  <c r="I11" i="4"/>
  <c r="I10" i="4"/>
  <c r="I9" i="4"/>
  <c r="I8" i="4"/>
  <c r="I7" i="4"/>
  <c r="I6" i="4"/>
  <c r="I5" i="4"/>
  <c r="I4" i="4"/>
  <c r="L3" i="4"/>
  <c r="M3" i="4" s="1"/>
  <c r="I3" i="4"/>
  <c r="L10" i="2" l="1"/>
  <c r="AH19" i="2"/>
  <c r="L15" i="2" l="1"/>
  <c r="L14" i="2"/>
  <c r="L13" i="2"/>
  <c r="L12" i="2" l="1"/>
  <c r="L11" i="2"/>
  <c r="G5" i="2"/>
  <c r="F5" i="2"/>
  <c r="L19" i="1"/>
  <c r="L18" i="1"/>
  <c r="L17" i="1"/>
  <c r="L16" i="1"/>
  <c r="L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tc={3E67998B-4D0C-482C-8AE0-DDECE5EEE6BF}</author>
    <author>tc={24514431-4315-46B6-B879-11F7D71BC366}</author>
  </authors>
  <commentList>
    <comment ref="H4" authorId="0" shapeId="0" xr:uid="{3E67998B-4D0C-482C-8AE0-DDECE5EEE6BF}">
      <text>
        <t>[Threaded comment]
Your version of Excel allows you to read this threaded comment; however, any edits to it will get removed if the file is opened in a newer version of Excel. Learn more: https://go.microsoft.com/fwlink/?linkid=870924
Comment:
    Pocillopora as the brooder</t>
      </text>
    </comment>
    <comment ref="I4" authorId="1" shapeId="0" xr:uid="{24514431-4315-46B6-B879-11F7D71BC366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TF cover + CCA from data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tc={801D6F7D-8C81-444F-94EC-CF7BB0D5B515}</author>
    <author>tc={CA8EAB5C-649A-4C6E-85A4-08889DB6A249}</author>
    <author>tc={AA8871A9-05B0-454D-A8B6-1F2D6C30559E}</author>
  </authors>
  <commentList>
    <comment ref="V1" authorId="0" shapeId="0" xr:uid="{801D6F7D-8C81-444F-94EC-CF7BB0D5B5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Protected fits the data better</t>
      </text>
    </comment>
    <comment ref="AF1" authorId="1" shapeId="0" xr:uid="{CA8EAB5C-649A-4C6E-85A4-08889DB6A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Swtiched susceptibility to cyclone with O and F being twice that of branching</t>
      </text>
    </comment>
    <comment ref="AK1" authorId="2" shapeId="0" xr:uid="{AA8871A9-05B0-454D-A8B6-1F2D6C30559E}">
      <text>
        <t>[Threaded comment]
Your version of Excel allows you to read this threaded comment; however, any edits to it will get removed if the file is opened in a newer version of Excel. Learn more: https://go.microsoft.com/fwlink/?linkid=870924
Comment:
    Switched the sensivity to bleaching but didn’t really have a bid impact on outcome. Values too high????</t>
      </text>
    </comment>
  </commentList>
</comments>
</file>

<file path=xl/sharedStrings.xml><?xml version="1.0" encoding="utf-8"?>
<sst xmlns="http://schemas.openxmlformats.org/spreadsheetml/2006/main" count="374" uniqueCount="147">
  <si>
    <t>Section</t>
  </si>
  <si>
    <t>Site</t>
  </si>
  <si>
    <t>Description</t>
  </si>
  <si>
    <t>Year range</t>
  </si>
  <si>
    <t>TCC</t>
  </si>
  <si>
    <t>Coral community</t>
  </si>
  <si>
    <t>AS</t>
  </si>
  <si>
    <t>Habitat (m2)</t>
  </si>
  <si>
    <t>Reef shape</t>
  </si>
  <si>
    <t>Growth rates</t>
  </si>
  <si>
    <t>Opt_GP</t>
  </si>
  <si>
    <t>CW, IP, Shallow</t>
  </si>
  <si>
    <t>Mixed</t>
  </si>
  <si>
    <t xml:space="preserve">Hypothetical </t>
  </si>
  <si>
    <t>Example</t>
  </si>
  <si>
    <t>Branching</t>
  </si>
  <si>
    <t>Myrmidon</t>
  </si>
  <si>
    <t>Case study</t>
  </si>
  <si>
    <t>Geoffrey Bay, GBR</t>
  </si>
  <si>
    <t>Tur, IP, Shallow</t>
  </si>
  <si>
    <t>Scott Reef, Indian Ocean</t>
  </si>
  <si>
    <t>Moorea, Pacific Ocean</t>
  </si>
  <si>
    <t>Bonaire, Carribean</t>
  </si>
  <si>
    <t>CW, Car, Shallow</t>
  </si>
  <si>
    <t>2005-2022</t>
  </si>
  <si>
    <t>Non-branching</t>
  </si>
  <si>
    <t>Branching to mixed</t>
  </si>
  <si>
    <t>2004-2017</t>
  </si>
  <si>
    <t>1995-2010</t>
  </si>
  <si>
    <t>1991-2006</t>
  </si>
  <si>
    <t>Real data</t>
  </si>
  <si>
    <t>Estimates for model</t>
  </si>
  <si>
    <t>Required model parameters - model 1</t>
  </si>
  <si>
    <t>Year</t>
  </si>
  <si>
    <t>Hard coral cover</t>
  </si>
  <si>
    <t>Foliose</t>
  </si>
  <si>
    <t>Other</t>
  </si>
  <si>
    <t>Spawners B + F</t>
  </si>
  <si>
    <t>Spawners O</t>
  </si>
  <si>
    <t>Brooders</t>
  </si>
  <si>
    <t>Available substrate</t>
  </si>
  <si>
    <t>Initial rugosity</t>
  </si>
  <si>
    <t>Habitat area</t>
  </si>
  <si>
    <t>Growth rate</t>
  </si>
  <si>
    <t>opts.growth_Para</t>
  </si>
  <si>
    <t>Mymirdon Reef</t>
  </si>
  <si>
    <t>Model outputs 1</t>
  </si>
  <si>
    <t>total_benthic_cover (%)</t>
  </si>
  <si>
    <t>available_substrate (%)</t>
  </si>
  <si>
    <t>hard_substrate (%)</t>
  </si>
  <si>
    <t>dead_coral (%)</t>
  </si>
  <si>
    <t>CCA (%)</t>
  </si>
  <si>
    <t>turfing_algae (%)</t>
  </si>
  <si>
    <t>macro_algae (%)</t>
  </si>
  <si>
    <t>rubble (%)</t>
  </si>
  <si>
    <t>sediment (%)</t>
  </si>
  <si>
    <t xml:space="preserve">total_cc </t>
  </si>
  <si>
    <t>unavailable_sub</t>
  </si>
  <si>
    <t>tot</t>
  </si>
  <si>
    <t>Model 1</t>
  </si>
  <si>
    <t>Model 2</t>
  </si>
  <si>
    <t>Yearly GR</t>
  </si>
  <si>
    <t>Model outputs 3: br = 15, F = 2.85, O = 2.85, brooder = 0.9, spbf = 14.1, Oth = 2.85</t>
  </si>
  <si>
    <t>Model 3</t>
  </si>
  <si>
    <t>Model 4</t>
  </si>
  <si>
    <t>Rugosity</t>
  </si>
  <si>
    <t>Reef shape = 3 (high)</t>
  </si>
  <si>
    <t>Model 5</t>
  </si>
  <si>
    <t>Turbid water PSD</t>
  </si>
  <si>
    <t>Model 6</t>
  </si>
  <si>
    <t>Turbid PSD</t>
  </si>
  <si>
    <t>High retention</t>
  </si>
  <si>
    <t>No change</t>
  </si>
  <si>
    <t>Higher GR</t>
  </si>
  <si>
    <t>Branching dom</t>
  </si>
  <si>
    <t>Lower AS</t>
  </si>
  <si>
    <t>Tur, IP, Shalloq</t>
  </si>
  <si>
    <t>Model outputs 2 (GR = 6,4,1.5)</t>
  </si>
  <si>
    <t>AS = 40, TF = 48, CCA = 1, DC = 1 sed = 14.8, MA = 13.5</t>
  </si>
  <si>
    <t>Low: 3.2,1.9,0.5</t>
  </si>
  <si>
    <t>Algae cover</t>
  </si>
  <si>
    <t>Turf</t>
  </si>
  <si>
    <t>CCA</t>
  </si>
  <si>
    <t>Macro</t>
  </si>
  <si>
    <t>Soft corals</t>
  </si>
  <si>
    <t>Impact</t>
  </si>
  <si>
    <t>Opt growth</t>
  </si>
  <si>
    <t>cyclone Larry</t>
  </si>
  <si>
    <t>cyclone yasi</t>
  </si>
  <si>
    <t>DHW = 13</t>
  </si>
  <si>
    <t>DHW = 10</t>
  </si>
  <si>
    <t>DHW =8</t>
  </si>
  <si>
    <t>Mixed Coral community although B low at the start as it was just after cyclone Yasi</t>
  </si>
  <si>
    <t>Model 1: GR: 2,7,2.5, protected:.95,.45,.45, bleaching = 100,100,50</t>
  </si>
  <si>
    <t>Model 2: GR: 2,7,2.5, semiprotected:.95,.45,.45</t>
  </si>
  <si>
    <t>Model 3: GR: 2,7,2.5, protected:.45,.95,.45, bleaching = 100,100,50</t>
  </si>
  <si>
    <t>Model 4: GR: 2,7,2.5, protected:.95,.45,.45, bleaching = 50,50,100</t>
  </si>
  <si>
    <t>Model 5: GR: 2,7,2.5, protected:.95,.45,.45, bleaching = 5,5,10</t>
  </si>
  <si>
    <t>Percentage change</t>
  </si>
  <si>
    <t>Sensitivity</t>
  </si>
  <si>
    <t>Model 2: AS x d=0.2 (TF = 76.78)</t>
  </si>
  <si>
    <t>Model 5: B:WCM x d=0.2 (calculating a total 20% change and then divided among the 20 bins)</t>
  </si>
  <si>
    <t>Model 1: gr x d=0.2 (b= 8.4, 2.04,0.6)</t>
  </si>
  <si>
    <t>Model 3: Number of recruite x d=0.2 (Line 74, 75 functions file *1.1 at the end)</t>
  </si>
  <si>
    <t>Model 4: B:NB ratio x d=0.2 (B=2.1, F=6.75, O=11.75, Brooder = 1.2, spawner = 7.65,11.75)</t>
  </si>
  <si>
    <t>Model data - polyp = 3 mmm reef area = 1000 gr= 4.3,1.5,0.9  b and f coeff = 2</t>
  </si>
  <si>
    <t>Low: 3.2,2.1,1</t>
  </si>
  <si>
    <t>2011-2023</t>
  </si>
  <si>
    <t>Hard_substrate</t>
  </si>
  <si>
    <t>DCC</t>
  </si>
  <si>
    <t>TF</t>
  </si>
  <si>
    <t>MA</t>
  </si>
  <si>
    <t>RB</t>
  </si>
  <si>
    <t>Sed</t>
  </si>
  <si>
    <t>Red = made up as no data</t>
  </si>
  <si>
    <t>Green - from AIMS data</t>
  </si>
  <si>
    <t>High: 6,4,2</t>
  </si>
  <si>
    <t>Model name</t>
  </si>
  <si>
    <t>my_model1</t>
  </si>
  <si>
    <t>my_model2</t>
  </si>
  <si>
    <t>my_model3</t>
  </si>
  <si>
    <t>my_model4</t>
  </si>
  <si>
    <t>my_model5</t>
  </si>
  <si>
    <t>my_model6</t>
  </si>
  <si>
    <t>my_model7</t>
  </si>
  <si>
    <t>my_model8</t>
  </si>
  <si>
    <t>my_model9</t>
  </si>
  <si>
    <t>my_model10</t>
  </si>
  <si>
    <t>x</t>
  </si>
  <si>
    <t>model4</t>
  </si>
  <si>
    <t>model3</t>
  </si>
  <si>
    <t xml:space="preserve">written in by Rio </t>
  </si>
  <si>
    <t>copied over from hypotheticals sheet</t>
  </si>
  <si>
    <t>model5</t>
  </si>
  <si>
    <t>model6</t>
  </si>
  <si>
    <t>model1</t>
  </si>
  <si>
    <t>model2</t>
  </si>
  <si>
    <t>my_model4.1</t>
  </si>
  <si>
    <t xml:space="preserve">*according to hypotheticals sheet AS = 40 but AS +50  includes TF which is greater than 40.according to this sheet AS =71.9 </t>
  </si>
  <si>
    <t>calc AS</t>
  </si>
  <si>
    <t>normal</t>
  </si>
  <si>
    <t>higher GR</t>
  </si>
  <si>
    <t>branching dom</t>
  </si>
  <si>
    <t>reduce AS</t>
  </si>
  <si>
    <t xml:space="preserve">high retension </t>
  </si>
  <si>
    <t>turbidity PSD</t>
  </si>
  <si>
    <t>geoffrey Bay, 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</si>
</sst>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5" borderId="0" xfId="0" applyFont="1" applyFill="1"/>
    <xf numFmtId="0" fontId="0" fillId="5" borderId="0" xfId="0" applyFill="1"/>
    <xf numFmtId="0" fontId="7" fillId="5" borderId="0" xfId="0" applyFont="1" applyFill="1"/>
    <xf numFmtId="0" fontId="6" fillId="5" borderId="0" xfId="0" applyFont="1" applyFill="1"/>
    <xf numFmtId="0" fontId="2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Hypotheticals!$B$5:$B$16</c:f>
              <c:numCache>
                <c:formatCode>General</c:formatCode>
                <c:ptCount val="12"/>
                <c:pt idx="0">
                  <c:v>20.2</c:v>
                </c:pt>
                <c:pt idx="2">
                  <c:v>22.6</c:v>
                </c:pt>
                <c:pt idx="4">
                  <c:v>22.2</c:v>
                </c:pt>
                <c:pt idx="6">
                  <c:v>25.7</c:v>
                </c:pt>
                <c:pt idx="8">
                  <c:v>28.6</c:v>
                </c:pt>
                <c:pt idx="9">
                  <c:v>33.200000000000003</c:v>
                </c:pt>
                <c:pt idx="10">
                  <c:v>33.4</c:v>
                </c:pt>
                <c:pt idx="11">
                  <c:v>34.799999999999997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7A-40D7-8E56-1A47F763A430}"/>
            </c:ext>
          </c:extLst>
        </c:ser>
        <c:ser>
          <c:idx val="1"/>
          <c:order val="1"/>
          <c:tx>
            <c:v>Model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Hypotheticals!$P$5:$P$16</c:f>
              <c:numCache>
                <c:formatCode>General</c:formatCode>
                <c:ptCount val="12"/>
                <c:pt idx="0">
                  <c:v>20.6</c:v>
                </c:pt>
                <c:pt idx="1">
                  <c:v>20.998483836410511</c:v>
                </c:pt>
                <c:pt idx="2">
                  <c:v>21.449125667613892</c:v>
                </c:pt>
                <c:pt idx="3">
                  <c:v>22.044575285193659</c:v>
                </c:pt>
                <c:pt idx="4">
                  <c:v>23.000532477249909</c:v>
                </c:pt>
                <c:pt idx="5">
                  <c:v>24.3123437596645</c:v>
                </c:pt>
                <c:pt idx="6">
                  <c:v>25.947503465949811</c:v>
                </c:pt>
                <c:pt idx="7">
                  <c:v>27.83700454997436</c:v>
                </c:pt>
                <c:pt idx="8">
                  <c:v>30.161086072760789</c:v>
                </c:pt>
                <c:pt idx="9">
                  <c:v>33.220123561900458</c:v>
                </c:pt>
                <c:pt idx="10">
                  <c:v>36.445351302415048</c:v>
                </c:pt>
                <c:pt idx="11">
                  <c:v>39.839164758702879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7A-40D7-8E56-1A47F763A430}"/>
            </c:ext>
          </c:extLst>
        </c:ser>
        <c:ser>
          <c:idx val="2"/>
          <c:order val="2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Hypotheticals!$U$5:$U$16</c:f>
              <c:numCache>
                <c:formatCode>General</c:formatCode>
                <c:ptCount val="12"/>
                <c:pt idx="0">
                  <c:v>20.6</c:v>
                </c:pt>
                <c:pt idx="1">
                  <c:v>21.21496902267398</c:v>
                </c:pt>
                <c:pt idx="2">
                  <c:v>22.189765953174732</c:v>
                </c:pt>
                <c:pt idx="3">
                  <c:v>23.700881837028451</c:v>
                </c:pt>
                <c:pt idx="4">
                  <c:v>25.904021860128719</c:v>
                </c:pt>
                <c:pt idx="5">
                  <c:v>28.69359905688378</c:v>
                </c:pt>
                <c:pt idx="6">
                  <c:v>32.434794120842312</c:v>
                </c:pt>
                <c:pt idx="7">
                  <c:v>36.861013462916112</c:v>
                </c:pt>
                <c:pt idx="8">
                  <c:v>42.022983986983583</c:v>
                </c:pt>
                <c:pt idx="9">
                  <c:v>47.675239314551924</c:v>
                </c:pt>
                <c:pt idx="10">
                  <c:v>53.42232165287345</c:v>
                </c:pt>
                <c:pt idx="11">
                  <c:v>58.602847208551182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7A-40D7-8E56-1A47F763A430}"/>
            </c:ext>
          </c:extLst>
        </c:ser>
        <c:ser>
          <c:idx val="3"/>
          <c:order val="3"/>
          <c:tx>
            <c:v>Model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Hypotheticals!$Z$5:$Z$16</c:f>
              <c:numCache>
                <c:formatCode>General</c:formatCode>
                <c:ptCount val="12"/>
                <c:pt idx="0">
                  <c:v>20.7</c:v>
                </c:pt>
                <c:pt idx="1">
                  <c:v>21.314380795206009</c:v>
                </c:pt>
                <c:pt idx="2">
                  <c:v>23.905183534282219</c:v>
                </c:pt>
                <c:pt idx="3">
                  <c:v>28.166989588325791</c:v>
                </c:pt>
                <c:pt idx="4">
                  <c:v>33.715690168050173</c:v>
                </c:pt>
                <c:pt idx="5">
                  <c:v>39.678914080938682</c:v>
                </c:pt>
                <c:pt idx="6">
                  <c:v>45.418054080332851</c:v>
                </c:pt>
                <c:pt idx="7">
                  <c:v>50.391617402478317</c:v>
                </c:pt>
                <c:pt idx="8">
                  <c:v>54.527151066801657</c:v>
                </c:pt>
                <c:pt idx="9">
                  <c:v>57.783362764862282</c:v>
                </c:pt>
                <c:pt idx="10">
                  <c:v>60.375520315770338</c:v>
                </c:pt>
                <c:pt idx="11">
                  <c:v>62.252003425236587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7A-40D7-8E56-1A47F763A430}"/>
            </c:ext>
          </c:extLst>
        </c:ser>
        <c:ser>
          <c:idx val="4"/>
          <c:order val="4"/>
          <c:tx>
            <c:v>Model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Hypotheticals!$AE$5:$AE$16</c:f>
              <c:numCache>
                <c:formatCode>General</c:formatCode>
                <c:ptCount val="12"/>
                <c:pt idx="0">
                  <c:v>20.6</c:v>
                </c:pt>
                <c:pt idx="1">
                  <c:v>20.757297877908201</c:v>
                </c:pt>
                <c:pt idx="2">
                  <c:v>20.892690703800881</c:v>
                </c:pt>
                <c:pt idx="3">
                  <c:v>21.065605926949871</c:v>
                </c:pt>
                <c:pt idx="4">
                  <c:v>21.404289249960939</c:v>
                </c:pt>
                <c:pt idx="5">
                  <c:v>21.762224645452282</c:v>
                </c:pt>
                <c:pt idx="6">
                  <c:v>22.2119534512907</c:v>
                </c:pt>
                <c:pt idx="7">
                  <c:v>22.874220817621509</c:v>
                </c:pt>
                <c:pt idx="8">
                  <c:v>23.692438806771928</c:v>
                </c:pt>
                <c:pt idx="9">
                  <c:v>24.698533854084069</c:v>
                </c:pt>
                <c:pt idx="10">
                  <c:v>25.971222490484418</c:v>
                </c:pt>
                <c:pt idx="11">
                  <c:v>27.46041594810232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A7A-40D7-8E56-1A47F763A430}"/>
            </c:ext>
          </c:extLst>
        </c:ser>
        <c:ser>
          <c:idx val="5"/>
          <c:order val="5"/>
          <c:tx>
            <c:v>Model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Hypotheticals!$AJ$5:$AJ$16</c:f>
              <c:numCache>
                <c:formatCode>General</c:formatCode>
                <c:ptCount val="12"/>
                <c:pt idx="0">
                  <c:v>20.6</c:v>
                </c:pt>
                <c:pt idx="1">
                  <c:v>29.33322732115467</c:v>
                </c:pt>
                <c:pt idx="2">
                  <c:v>40.573639668681039</c:v>
                </c:pt>
                <c:pt idx="3">
                  <c:v>53.67669248304378</c:v>
                </c:pt>
                <c:pt idx="4">
                  <c:v>62.943369793521271</c:v>
                </c:pt>
                <c:pt idx="5">
                  <c:v>71.006758212811604</c:v>
                </c:pt>
                <c:pt idx="6">
                  <c:v>78.317126507990523</c:v>
                </c:pt>
                <c:pt idx="7">
                  <c:v>71.950669360536722</c:v>
                </c:pt>
                <c:pt idx="8">
                  <c:v>71.337607189142773</c:v>
                </c:pt>
                <c:pt idx="9">
                  <c:v>73.583600499533432</c:v>
                </c:pt>
                <c:pt idx="10">
                  <c:v>71.294037226028266</c:v>
                </c:pt>
                <c:pt idx="11">
                  <c:v>74.806799234162668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A7A-40D7-8E56-1A47F763A430}"/>
            </c:ext>
          </c:extLst>
        </c:ser>
        <c:ser>
          <c:idx val="6"/>
          <c:order val="6"/>
          <c:tx>
            <c:v>Model 6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Hypotheticals!$AO$5:$AO$16</c:f>
              <c:numCache>
                <c:formatCode>General</c:formatCode>
                <c:ptCount val="12"/>
                <c:pt idx="0">
                  <c:v>20.6</c:v>
                </c:pt>
                <c:pt idx="1">
                  <c:v>20.56753586415433</c:v>
                </c:pt>
                <c:pt idx="2">
                  <c:v>20.575861084686348</c:v>
                </c:pt>
                <c:pt idx="3">
                  <c:v>20.687181456870888</c:v>
                </c:pt>
                <c:pt idx="4">
                  <c:v>20.914014263937119</c:v>
                </c:pt>
                <c:pt idx="5">
                  <c:v>21.34382340885637</c:v>
                </c:pt>
                <c:pt idx="6">
                  <c:v>21.74170611843353</c:v>
                </c:pt>
                <c:pt idx="7">
                  <c:v>22.293585772898819</c:v>
                </c:pt>
                <c:pt idx="8">
                  <c:v>23.023721358024218</c:v>
                </c:pt>
                <c:pt idx="9">
                  <c:v>23.85428973329406</c:v>
                </c:pt>
                <c:pt idx="10">
                  <c:v>24.909472165818539</c:v>
                </c:pt>
                <c:pt idx="11">
                  <c:v>26.06722759848271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A7A-40D7-8E56-1A47F763A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373872"/>
        <c:axId val="1554365552"/>
      </c:scatterChart>
      <c:valAx>
        <c:axId val="15543738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65552"/>
        <c:crosses val="autoZero"/>
        <c:crossBetween val="midCat"/>
      </c:valAx>
      <c:valAx>
        <c:axId val="15543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7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Branching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Hypotheticals!$C$5:$C$16</c:f>
              <c:numCache>
                <c:formatCode>General</c:formatCode>
                <c:ptCount val="12"/>
                <c:pt idx="0">
                  <c:v>1.7000000000000002</c:v>
                </c:pt>
                <c:pt idx="2">
                  <c:v>2.5</c:v>
                </c:pt>
                <c:pt idx="4">
                  <c:v>4.5</c:v>
                </c:pt>
                <c:pt idx="6">
                  <c:v>8.1999999999999993</c:v>
                </c:pt>
                <c:pt idx="8">
                  <c:v>13</c:v>
                </c:pt>
                <c:pt idx="9">
                  <c:v>13.7</c:v>
                </c:pt>
                <c:pt idx="10">
                  <c:v>18</c:v>
                </c:pt>
                <c:pt idx="11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B9-46A8-B1B9-6E2AFF68D3F7}"/>
            </c:ext>
          </c:extLst>
        </c:ser>
        <c:ser>
          <c:idx val="1"/>
          <c:order val="1"/>
          <c:tx>
            <c:v>Model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Hypotheticals!$Q$5:$Q$16</c:f>
              <c:numCache>
                <c:formatCode>General</c:formatCode>
                <c:ptCount val="12"/>
                <c:pt idx="0">
                  <c:v>1.8</c:v>
                </c:pt>
                <c:pt idx="1">
                  <c:v>1.963750662896725</c:v>
                </c:pt>
                <c:pt idx="2">
                  <c:v>2.2938142410645019</c:v>
                </c:pt>
                <c:pt idx="3">
                  <c:v>2.8077002593754541</c:v>
                </c:pt>
                <c:pt idx="4">
                  <c:v>3.5467599311324518</c:v>
                </c:pt>
                <c:pt idx="5">
                  <c:v>4.5980840951792352</c:v>
                </c:pt>
                <c:pt idx="6">
                  <c:v>6.0123898379171887</c:v>
                </c:pt>
                <c:pt idx="7">
                  <c:v>7.8427013528526892</c:v>
                </c:pt>
                <c:pt idx="8">
                  <c:v>10.15972410964558</c:v>
                </c:pt>
                <c:pt idx="9">
                  <c:v>12.958608274636889</c:v>
                </c:pt>
                <c:pt idx="10">
                  <c:v>16.228672432804441</c:v>
                </c:pt>
                <c:pt idx="11">
                  <c:v>19.773567043298812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B9-46A8-B1B9-6E2AFF68D3F7}"/>
            </c:ext>
          </c:extLst>
        </c:ser>
        <c:ser>
          <c:idx val="2"/>
          <c:order val="2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Hypotheticals!$V$5:$V$16</c:f>
              <c:numCache>
                <c:formatCode>General</c:formatCode>
                <c:ptCount val="12"/>
                <c:pt idx="0">
                  <c:v>1.8</c:v>
                </c:pt>
                <c:pt idx="1">
                  <c:v>1.9935270707665309</c:v>
                </c:pt>
                <c:pt idx="2">
                  <c:v>2.4523370428692348</c:v>
                </c:pt>
                <c:pt idx="3">
                  <c:v>3.291426988211942</c:v>
                </c:pt>
                <c:pt idx="4">
                  <c:v>4.6186909794913742</c:v>
                </c:pt>
                <c:pt idx="5">
                  <c:v>6.6109810481505553</c:v>
                </c:pt>
                <c:pt idx="6">
                  <c:v>9.459423837252249</c:v>
                </c:pt>
                <c:pt idx="7">
                  <c:v>13.25956303337377</c:v>
                </c:pt>
                <c:pt idx="8">
                  <c:v>17.978745707871841</c:v>
                </c:pt>
                <c:pt idx="9">
                  <c:v>23.356779266689951</c:v>
                </c:pt>
                <c:pt idx="10">
                  <c:v>28.926842676458751</c:v>
                </c:pt>
                <c:pt idx="11">
                  <c:v>34.155522957029781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B9-46A8-B1B9-6E2AFF68D3F7}"/>
            </c:ext>
          </c:extLst>
        </c:ser>
        <c:ser>
          <c:idx val="3"/>
          <c:order val="3"/>
          <c:tx>
            <c:v>Model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Hypotheticals!$AA$5:$AA$16</c:f>
              <c:numCache>
                <c:formatCode>General</c:formatCode>
                <c:ptCount val="12"/>
                <c:pt idx="0">
                  <c:v>15</c:v>
                </c:pt>
                <c:pt idx="1">
                  <c:v>15.616542921729501</c:v>
                </c:pt>
                <c:pt idx="2">
                  <c:v>18.225105476775529</c:v>
                </c:pt>
                <c:pt idx="3">
                  <c:v>22.517954393227392</c:v>
                </c:pt>
                <c:pt idx="4">
                  <c:v>28.051594963168618</c:v>
                </c:pt>
                <c:pt idx="5">
                  <c:v>34.102322048936657</c:v>
                </c:pt>
                <c:pt idx="6">
                  <c:v>39.892984167849697</c:v>
                </c:pt>
                <c:pt idx="7">
                  <c:v>44.962562415470508</c:v>
                </c:pt>
                <c:pt idx="8">
                  <c:v>49.223956135478289</c:v>
                </c:pt>
                <c:pt idx="9">
                  <c:v>52.6111035248543</c:v>
                </c:pt>
                <c:pt idx="10">
                  <c:v>55.328316098329317</c:v>
                </c:pt>
                <c:pt idx="11">
                  <c:v>57.34666175105923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B9-46A8-B1B9-6E2AFF68D3F7}"/>
            </c:ext>
          </c:extLst>
        </c:ser>
        <c:ser>
          <c:idx val="4"/>
          <c:order val="4"/>
          <c:tx>
            <c:v>Model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Hypotheticals!$AF$5:$AF$16</c:f>
              <c:numCache>
                <c:formatCode>General</c:formatCode>
                <c:ptCount val="12"/>
                <c:pt idx="0">
                  <c:v>1.8</c:v>
                </c:pt>
                <c:pt idx="1">
                  <c:v>1.893899313739565</c:v>
                </c:pt>
                <c:pt idx="2">
                  <c:v>2.0693179935343848</c:v>
                </c:pt>
                <c:pt idx="3">
                  <c:v>2.328263768006523</c:v>
                </c:pt>
                <c:pt idx="4">
                  <c:v>2.6842945729516292</c:v>
                </c:pt>
                <c:pt idx="5">
                  <c:v>3.1558181778243291</c:v>
                </c:pt>
                <c:pt idx="6">
                  <c:v>3.7462903345435739</c:v>
                </c:pt>
                <c:pt idx="7">
                  <c:v>4.5070073606562584</c:v>
                </c:pt>
                <c:pt idx="8">
                  <c:v>5.424588034953497</c:v>
                </c:pt>
                <c:pt idx="9">
                  <c:v>6.5241258287558388</c:v>
                </c:pt>
                <c:pt idx="10">
                  <c:v>7.8703571856813213</c:v>
                </c:pt>
                <c:pt idx="11">
                  <c:v>9.4350077718476335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B9-46A8-B1B9-6E2AFF68D3F7}"/>
            </c:ext>
          </c:extLst>
        </c:ser>
        <c:ser>
          <c:idx val="5"/>
          <c:order val="5"/>
          <c:tx>
            <c:v>Model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Hypotheticals!$AK$5:$AK$16</c:f>
              <c:numCache>
                <c:formatCode>General</c:formatCode>
                <c:ptCount val="12"/>
                <c:pt idx="0">
                  <c:v>1.8</c:v>
                </c:pt>
                <c:pt idx="1">
                  <c:v>2.497271635292611</c:v>
                </c:pt>
                <c:pt idx="2">
                  <c:v>3.3589712302641219</c:v>
                </c:pt>
                <c:pt idx="3">
                  <c:v>4.500518008331186</c:v>
                </c:pt>
                <c:pt idx="4">
                  <c:v>5.2099190819428882</c:v>
                </c:pt>
                <c:pt idx="5">
                  <c:v>5.7455213594717804</c:v>
                </c:pt>
                <c:pt idx="6">
                  <c:v>5.9830846689454207</c:v>
                </c:pt>
                <c:pt idx="7">
                  <c:v>5.9023359202711196</c:v>
                </c:pt>
                <c:pt idx="8">
                  <c:v>6.2422366104354534</c:v>
                </c:pt>
                <c:pt idx="9">
                  <c:v>6.5347385214387446</c:v>
                </c:pt>
                <c:pt idx="10">
                  <c:v>6.7292031066959552</c:v>
                </c:pt>
                <c:pt idx="11">
                  <c:v>7.3559017537019056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B9-46A8-B1B9-6E2AFF68D3F7}"/>
            </c:ext>
          </c:extLst>
        </c:ser>
        <c:ser>
          <c:idx val="6"/>
          <c:order val="6"/>
          <c:tx>
            <c:v>Model 6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Hypotheticals!$AP$5:$AP$16</c:f>
              <c:numCache>
                <c:formatCode>General</c:formatCode>
                <c:ptCount val="12"/>
                <c:pt idx="0">
                  <c:v>1.8</c:v>
                </c:pt>
                <c:pt idx="1">
                  <c:v>1.875030122863941</c:v>
                </c:pt>
                <c:pt idx="2">
                  <c:v>2.0006447416223199</c:v>
                </c:pt>
                <c:pt idx="3">
                  <c:v>2.2061932584604751</c:v>
                </c:pt>
                <c:pt idx="4">
                  <c:v>2.494179130024234</c:v>
                </c:pt>
                <c:pt idx="5">
                  <c:v>2.8633359017751201</c:v>
                </c:pt>
                <c:pt idx="6">
                  <c:v>3.3416826531923349</c:v>
                </c:pt>
                <c:pt idx="7">
                  <c:v>3.9630111402560568</c:v>
                </c:pt>
                <c:pt idx="8">
                  <c:v>4.7258192889787871</c:v>
                </c:pt>
                <c:pt idx="9">
                  <c:v>5.6634963387819566</c:v>
                </c:pt>
                <c:pt idx="10">
                  <c:v>6.7779076103036404</c:v>
                </c:pt>
                <c:pt idx="11">
                  <c:v>8.0628975454382044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B9-46A8-B1B9-6E2AFF68D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373872"/>
        <c:axId val="1554365552"/>
      </c:scatterChart>
      <c:valAx>
        <c:axId val="15543738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65552"/>
        <c:crosses val="autoZero"/>
        <c:crossBetween val="midCat"/>
      </c:valAx>
      <c:valAx>
        <c:axId val="15543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7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Foliose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Hypotheticals!$D$5:$D$16</c:f>
              <c:numCache>
                <c:formatCode>General</c:formatCode>
                <c:ptCount val="12"/>
                <c:pt idx="0">
                  <c:v>6</c:v>
                </c:pt>
                <c:pt idx="2">
                  <c:v>5.9</c:v>
                </c:pt>
                <c:pt idx="4">
                  <c:v>5.0999999999999996</c:v>
                </c:pt>
                <c:pt idx="6">
                  <c:v>4.3</c:v>
                </c:pt>
                <c:pt idx="8">
                  <c:v>4.4000000000000004</c:v>
                </c:pt>
                <c:pt idx="9">
                  <c:v>5.0999999999999996</c:v>
                </c:pt>
                <c:pt idx="10">
                  <c:v>4</c:v>
                </c:pt>
                <c:pt idx="11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A-485C-AA2C-509651642CC9}"/>
            </c:ext>
          </c:extLst>
        </c:ser>
        <c:ser>
          <c:idx val="1"/>
          <c:order val="1"/>
          <c:tx>
            <c:v>Model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Hypotheticals!$R$5:$R$16</c:f>
              <c:numCache>
                <c:formatCode>General</c:formatCode>
                <c:ptCount val="12"/>
                <c:pt idx="0">
                  <c:v>6.9</c:v>
                </c:pt>
                <c:pt idx="1">
                  <c:v>6.9509308257000946</c:v>
                </c:pt>
                <c:pt idx="2">
                  <c:v>7.0380412994979169</c:v>
                </c:pt>
                <c:pt idx="3">
                  <c:v>7.1315331333733383</c:v>
                </c:pt>
                <c:pt idx="4">
                  <c:v>7.3358642830582292</c:v>
                </c:pt>
                <c:pt idx="5">
                  <c:v>7.5653674438800049</c:v>
                </c:pt>
                <c:pt idx="6">
                  <c:v>7.7866631938942792</c:v>
                </c:pt>
                <c:pt idx="7">
                  <c:v>8.0116797677076477</c:v>
                </c:pt>
                <c:pt idx="8">
                  <c:v>8.1439702708549078</c:v>
                </c:pt>
                <c:pt idx="9">
                  <c:v>8.2710967810778246</c:v>
                </c:pt>
                <c:pt idx="10">
                  <c:v>8.3552620117629015</c:v>
                </c:pt>
                <c:pt idx="11">
                  <c:v>8.3931672906238735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5A-485C-AA2C-509651642CC9}"/>
            </c:ext>
          </c:extLst>
        </c:ser>
        <c:ser>
          <c:idx val="2"/>
          <c:order val="2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Hypotheticals!$W$5:$W$16</c:f>
              <c:numCache>
                <c:formatCode>General</c:formatCode>
                <c:ptCount val="12"/>
                <c:pt idx="0">
                  <c:v>6.9</c:v>
                </c:pt>
                <c:pt idx="1">
                  <c:v>7.094256173043088</c:v>
                </c:pt>
                <c:pt idx="2">
                  <c:v>7.3211478849715688</c:v>
                </c:pt>
                <c:pt idx="3">
                  <c:v>7.6021437128810909</c:v>
                </c:pt>
                <c:pt idx="4">
                  <c:v>7.8901688543530204</c:v>
                </c:pt>
                <c:pt idx="5">
                  <c:v>8.1792641008225786</c:v>
                </c:pt>
                <c:pt idx="6">
                  <c:v>8.4583160682776928</c:v>
                </c:pt>
                <c:pt idx="7">
                  <c:v>8.7242420689270244</c:v>
                </c:pt>
                <c:pt idx="8">
                  <c:v>8.9571224418514124</c:v>
                </c:pt>
                <c:pt idx="9">
                  <c:v>9.1627004111206922</c:v>
                </c:pt>
                <c:pt idx="10">
                  <c:v>9.301107202465408</c:v>
                </c:pt>
                <c:pt idx="11">
                  <c:v>9.3870690314492595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5A-485C-AA2C-509651642CC9}"/>
            </c:ext>
          </c:extLst>
        </c:ser>
        <c:ser>
          <c:idx val="3"/>
          <c:order val="3"/>
          <c:tx>
            <c:v>Model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Hypotheticals!$AB$5:$AB$16</c:f>
              <c:numCache>
                <c:formatCode>General</c:formatCode>
                <c:ptCount val="12"/>
                <c:pt idx="0">
                  <c:v>2.85</c:v>
                </c:pt>
                <c:pt idx="1">
                  <c:v>2.8581130039885272</c:v>
                </c:pt>
                <c:pt idx="2">
                  <c:v>2.8701295958885078</c:v>
                </c:pt>
                <c:pt idx="3">
                  <c:v>2.8690791258449631</c:v>
                </c:pt>
                <c:pt idx="4">
                  <c:v>2.855207030783955</c:v>
                </c:pt>
                <c:pt idx="5">
                  <c:v>2.8375552070615981</c:v>
                </c:pt>
                <c:pt idx="6">
                  <c:v>2.808053688548982</c:v>
                </c:pt>
                <c:pt idx="7">
                  <c:v>2.7754792997220732</c:v>
                </c:pt>
                <c:pt idx="8">
                  <c:v>2.730436715051229</c:v>
                </c:pt>
                <c:pt idx="9">
                  <c:v>2.684000048640355</c:v>
                </c:pt>
                <c:pt idx="10">
                  <c:v>2.6339603681548951</c:v>
                </c:pt>
                <c:pt idx="11">
                  <c:v>2.5818393825364319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5A-485C-AA2C-509651642CC9}"/>
            </c:ext>
          </c:extLst>
        </c:ser>
        <c:ser>
          <c:idx val="4"/>
          <c:order val="4"/>
          <c:tx>
            <c:v>Model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Hypotheticals!$AG$5:$AG$16</c:f>
              <c:numCache>
                <c:formatCode>General</c:formatCode>
                <c:ptCount val="12"/>
                <c:pt idx="0">
                  <c:v>6.9</c:v>
                </c:pt>
                <c:pt idx="1">
                  <c:v>6.9051617477281102</c:v>
                </c:pt>
                <c:pt idx="2">
                  <c:v>6.9354781168352533</c:v>
                </c:pt>
                <c:pt idx="3">
                  <c:v>6.9662657248404312</c:v>
                </c:pt>
                <c:pt idx="4">
                  <c:v>6.9937055731741307</c:v>
                </c:pt>
                <c:pt idx="5">
                  <c:v>7.046798489019797</c:v>
                </c:pt>
                <c:pt idx="6">
                  <c:v>7.0782438679868243</c:v>
                </c:pt>
                <c:pt idx="7">
                  <c:v>7.1479381375113036</c:v>
                </c:pt>
                <c:pt idx="8">
                  <c:v>7.1990577404714351</c:v>
                </c:pt>
                <c:pt idx="9">
                  <c:v>7.2529556894345868</c:v>
                </c:pt>
                <c:pt idx="10">
                  <c:v>7.3038887603309108</c:v>
                </c:pt>
                <c:pt idx="11">
                  <c:v>7.3359526403516107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5A-485C-AA2C-509651642CC9}"/>
            </c:ext>
          </c:extLst>
        </c:ser>
        <c:ser>
          <c:idx val="5"/>
          <c:order val="5"/>
          <c:tx>
            <c:v>Model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Hypotheticals!$AL$5:$AL$16</c:f>
              <c:numCache>
                <c:formatCode>General</c:formatCode>
                <c:ptCount val="12"/>
                <c:pt idx="0">
                  <c:v>6.9</c:v>
                </c:pt>
                <c:pt idx="1">
                  <c:v>8.4696258018306168</c:v>
                </c:pt>
                <c:pt idx="2">
                  <c:v>10.9605357119997</c:v>
                </c:pt>
                <c:pt idx="3">
                  <c:v>12.29751900555118</c:v>
                </c:pt>
                <c:pt idx="4">
                  <c:v>15.26132696737892</c:v>
                </c:pt>
                <c:pt idx="5">
                  <c:v>16.449958365341669</c:v>
                </c:pt>
                <c:pt idx="6">
                  <c:v>17.664704252237371</c:v>
                </c:pt>
                <c:pt idx="7">
                  <c:v>17.093484167998401</c:v>
                </c:pt>
                <c:pt idx="8">
                  <c:v>17.080348383715581</c:v>
                </c:pt>
                <c:pt idx="9">
                  <c:v>17.6470720634691</c:v>
                </c:pt>
                <c:pt idx="10">
                  <c:v>17.215063803692331</c:v>
                </c:pt>
                <c:pt idx="11">
                  <c:v>18.20480293425171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5A-485C-AA2C-509651642CC9}"/>
            </c:ext>
          </c:extLst>
        </c:ser>
        <c:ser>
          <c:idx val="6"/>
          <c:order val="6"/>
          <c:tx>
            <c:v>Model 6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Hypotheticals!$AQ$5:$AQ$16</c:f>
              <c:numCache>
                <c:formatCode>General</c:formatCode>
                <c:ptCount val="12"/>
                <c:pt idx="0">
                  <c:v>6.9</c:v>
                </c:pt>
                <c:pt idx="1">
                  <c:v>6.9256704572698258</c:v>
                </c:pt>
                <c:pt idx="2">
                  <c:v>6.9356941013301849</c:v>
                </c:pt>
                <c:pt idx="3">
                  <c:v>6.9642825944778526</c:v>
                </c:pt>
                <c:pt idx="4">
                  <c:v>7.0088244878195303</c:v>
                </c:pt>
                <c:pt idx="5">
                  <c:v>7.0563803466132464</c:v>
                </c:pt>
                <c:pt idx="6">
                  <c:v>7.0859604049422034</c:v>
                </c:pt>
                <c:pt idx="7">
                  <c:v>7.1276257775104366</c:v>
                </c:pt>
                <c:pt idx="8">
                  <c:v>7.1649714601799861</c:v>
                </c:pt>
                <c:pt idx="9">
                  <c:v>7.1890733663192457</c:v>
                </c:pt>
                <c:pt idx="10">
                  <c:v>7.2073731435264063</c:v>
                </c:pt>
                <c:pt idx="11">
                  <c:v>7.2382000214397557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05A-485C-AA2C-509651642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373872"/>
        <c:axId val="1554365552"/>
      </c:scatterChart>
      <c:valAx>
        <c:axId val="15543738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65552"/>
        <c:crosses val="autoZero"/>
        <c:crossBetween val="midCat"/>
      </c:valAx>
      <c:valAx>
        <c:axId val="15543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7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Hypotheticals!$E$5:$E$16</c:f>
              <c:numCache>
                <c:formatCode>General</c:formatCode>
                <c:ptCount val="12"/>
                <c:pt idx="0">
                  <c:v>12.5</c:v>
                </c:pt>
                <c:pt idx="2">
                  <c:v>14.200000000000001</c:v>
                </c:pt>
                <c:pt idx="4">
                  <c:v>12.6</c:v>
                </c:pt>
                <c:pt idx="6">
                  <c:v>13.2</c:v>
                </c:pt>
                <c:pt idx="8">
                  <c:v>11.200000000000001</c:v>
                </c:pt>
                <c:pt idx="9">
                  <c:v>14.400000000000004</c:v>
                </c:pt>
                <c:pt idx="10">
                  <c:v>11.399999999999999</c:v>
                </c:pt>
                <c:pt idx="11">
                  <c:v>11.899999999999997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59-475D-A0CB-A22B8A2272A4}"/>
            </c:ext>
          </c:extLst>
        </c:ser>
        <c:ser>
          <c:idx val="1"/>
          <c:order val="1"/>
          <c:tx>
            <c:v>Model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Hypotheticals!$S$5:$S$16</c:f>
              <c:numCache>
                <c:formatCode>General</c:formatCode>
                <c:ptCount val="12"/>
                <c:pt idx="0">
                  <c:v>11.9</c:v>
                </c:pt>
                <c:pt idx="1">
                  <c:v>12.0838023478137</c:v>
                </c:pt>
                <c:pt idx="2">
                  <c:v>12.117270127051469</c:v>
                </c:pt>
                <c:pt idx="3">
                  <c:v>12.105341892444869</c:v>
                </c:pt>
                <c:pt idx="4">
                  <c:v>12.117908263059229</c:v>
                </c:pt>
                <c:pt idx="5">
                  <c:v>12.14889222060526</c:v>
                </c:pt>
                <c:pt idx="6">
                  <c:v>12.148450434138351</c:v>
                </c:pt>
                <c:pt idx="7">
                  <c:v>11.982623429414019</c:v>
                </c:pt>
                <c:pt idx="8">
                  <c:v>11.8573916922603</c:v>
                </c:pt>
                <c:pt idx="9">
                  <c:v>11.99041850618574</c:v>
                </c:pt>
                <c:pt idx="10">
                  <c:v>11.861416857847709</c:v>
                </c:pt>
                <c:pt idx="11">
                  <c:v>11.672430424780201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59-475D-A0CB-A22B8A2272A4}"/>
            </c:ext>
          </c:extLst>
        </c:ser>
        <c:ser>
          <c:idx val="2"/>
          <c:order val="2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Hypotheticals!$X$5:$X$16</c:f>
              <c:numCache>
                <c:formatCode>General</c:formatCode>
                <c:ptCount val="12"/>
                <c:pt idx="0">
                  <c:v>11.9</c:v>
                </c:pt>
                <c:pt idx="1">
                  <c:v>12.12718577886436</c:v>
                </c:pt>
                <c:pt idx="2">
                  <c:v>12.41628102533392</c:v>
                </c:pt>
                <c:pt idx="3">
                  <c:v>12.80731113593542</c:v>
                </c:pt>
                <c:pt idx="4">
                  <c:v>13.39516202628433</c:v>
                </c:pt>
                <c:pt idx="5">
                  <c:v>13.903353907910651</c:v>
                </c:pt>
                <c:pt idx="6">
                  <c:v>14.517054215312371</c:v>
                </c:pt>
                <c:pt idx="7">
                  <c:v>14.87720836061532</c:v>
                </c:pt>
                <c:pt idx="8">
                  <c:v>15.087115837260329</c:v>
                </c:pt>
                <c:pt idx="9">
                  <c:v>15.15575963674126</c:v>
                </c:pt>
                <c:pt idx="10">
                  <c:v>15.194371773949291</c:v>
                </c:pt>
                <c:pt idx="11">
                  <c:v>15.060255220072129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59-475D-A0CB-A22B8A2272A4}"/>
            </c:ext>
          </c:extLst>
        </c:ser>
        <c:ser>
          <c:idx val="3"/>
          <c:order val="3"/>
          <c:tx>
            <c:v>Model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Hypotheticals!$AC$5:$AC$16</c:f>
              <c:numCache>
                <c:formatCode>General</c:formatCode>
                <c:ptCount val="12"/>
                <c:pt idx="0">
                  <c:v>2.85</c:v>
                </c:pt>
                <c:pt idx="1">
                  <c:v>2.8397248694879842</c:v>
                </c:pt>
                <c:pt idx="2">
                  <c:v>2.8099484616181769</c:v>
                </c:pt>
                <c:pt idx="3">
                  <c:v>2.779956069253438</c:v>
                </c:pt>
                <c:pt idx="4">
                  <c:v>2.8088881740975911</c:v>
                </c:pt>
                <c:pt idx="5">
                  <c:v>2.7390368249404311</c:v>
                </c:pt>
                <c:pt idx="6">
                  <c:v>2.7170162239341749</c:v>
                </c:pt>
                <c:pt idx="7">
                  <c:v>2.6535756872857461</c:v>
                </c:pt>
                <c:pt idx="8">
                  <c:v>2.572758216272149</c:v>
                </c:pt>
                <c:pt idx="9">
                  <c:v>2.488259191367626</c:v>
                </c:pt>
                <c:pt idx="10">
                  <c:v>2.4132438492861268</c:v>
                </c:pt>
                <c:pt idx="11">
                  <c:v>2.323502291640926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59-475D-A0CB-A22B8A2272A4}"/>
            </c:ext>
          </c:extLst>
        </c:ser>
        <c:ser>
          <c:idx val="4"/>
          <c:order val="4"/>
          <c:tx>
            <c:v>Model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Hypotheticals!$AH$5:$AH$16</c:f>
              <c:numCache>
                <c:formatCode>General</c:formatCode>
                <c:ptCount val="12"/>
                <c:pt idx="0">
                  <c:v>11.9</c:v>
                </c:pt>
                <c:pt idx="1">
                  <c:v>11.958236816440531</c:v>
                </c:pt>
                <c:pt idx="2">
                  <c:v>11.887894593431239</c:v>
                </c:pt>
                <c:pt idx="3">
                  <c:v>11.77107643410292</c:v>
                </c:pt>
                <c:pt idx="4">
                  <c:v>11.72628910383518</c:v>
                </c:pt>
                <c:pt idx="5">
                  <c:v>11.559607978608151</c:v>
                </c:pt>
                <c:pt idx="6">
                  <c:v>11.38741924876031</c:v>
                </c:pt>
                <c:pt idx="7">
                  <c:v>11.219275319453949</c:v>
                </c:pt>
                <c:pt idx="8">
                  <c:v>11.068793031347001</c:v>
                </c:pt>
                <c:pt idx="9">
                  <c:v>10.92145233589364</c:v>
                </c:pt>
                <c:pt idx="10">
                  <c:v>10.796976544472191</c:v>
                </c:pt>
                <c:pt idx="11">
                  <c:v>10.689455535903081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59-475D-A0CB-A22B8A2272A4}"/>
            </c:ext>
          </c:extLst>
        </c:ser>
        <c:ser>
          <c:idx val="5"/>
          <c:order val="5"/>
          <c:tx>
            <c:v>Model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Hypotheticals!$AM$5:$AM$16</c:f>
              <c:numCache>
                <c:formatCode>General</c:formatCode>
                <c:ptCount val="12"/>
                <c:pt idx="0">
                  <c:v>11.9</c:v>
                </c:pt>
                <c:pt idx="1">
                  <c:v>18.36632988403144</c:v>
                </c:pt>
                <c:pt idx="2">
                  <c:v>26.254132726417211</c:v>
                </c:pt>
                <c:pt idx="3">
                  <c:v>36.878655469161409</c:v>
                </c:pt>
                <c:pt idx="4">
                  <c:v>42.472123744199457</c:v>
                </c:pt>
                <c:pt idx="5">
                  <c:v>48.811278487998152</c:v>
                </c:pt>
                <c:pt idx="6">
                  <c:v>54.669337586807728</c:v>
                </c:pt>
                <c:pt idx="7">
                  <c:v>48.954849272267197</c:v>
                </c:pt>
                <c:pt idx="8">
                  <c:v>48.015022194991737</c:v>
                </c:pt>
                <c:pt idx="9">
                  <c:v>49.401789914625589</c:v>
                </c:pt>
                <c:pt idx="10">
                  <c:v>47.349770315639987</c:v>
                </c:pt>
                <c:pt idx="11">
                  <c:v>49.246094546209051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59-475D-A0CB-A22B8A2272A4}"/>
            </c:ext>
          </c:extLst>
        </c:ser>
        <c:ser>
          <c:idx val="6"/>
          <c:order val="6"/>
          <c:tx>
            <c:v>Model 6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Hypotheticals!$AR$5:$AR$16</c:f>
              <c:numCache>
                <c:formatCode>General</c:formatCode>
                <c:ptCount val="12"/>
                <c:pt idx="0">
                  <c:v>11.9</c:v>
                </c:pt>
                <c:pt idx="1">
                  <c:v>11.766835284020569</c:v>
                </c:pt>
                <c:pt idx="2">
                  <c:v>11.63952224173384</c:v>
                </c:pt>
                <c:pt idx="3">
                  <c:v>11.516705603932561</c:v>
                </c:pt>
                <c:pt idx="4">
                  <c:v>11.41101064609335</c:v>
                </c:pt>
                <c:pt idx="5">
                  <c:v>11.42410716046801</c:v>
                </c:pt>
                <c:pt idx="6">
                  <c:v>11.31406306029899</c:v>
                </c:pt>
                <c:pt idx="7">
                  <c:v>11.20294885513233</c:v>
                </c:pt>
                <c:pt idx="8">
                  <c:v>11.13293060886545</c:v>
                </c:pt>
                <c:pt idx="9">
                  <c:v>11.00172002819286</c:v>
                </c:pt>
                <c:pt idx="10">
                  <c:v>10.92419141198849</c:v>
                </c:pt>
                <c:pt idx="11">
                  <c:v>10.766130031604749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059-475D-A0CB-A22B8A227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373872"/>
        <c:axId val="1554365552"/>
      </c:scatterChart>
      <c:valAx>
        <c:axId val="15543738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65552"/>
        <c:crosses val="autoZero"/>
        <c:crossBetween val="midCat"/>
      </c:valAx>
      <c:valAx>
        <c:axId val="15543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7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Model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Hypotheticals!$A$5:$A$16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Hypotheticals!$AW$5:$AW$16</c:f>
              <c:numCache>
                <c:formatCode>General</c:formatCode>
                <c:ptCount val="12"/>
                <c:pt idx="0">
                  <c:v>1.6</c:v>
                </c:pt>
                <c:pt idx="1">
                  <c:v>1.6134886778624959</c:v>
                </c:pt>
                <c:pt idx="2">
                  <c:v>1.62874290384873</c:v>
                </c:pt>
                <c:pt idx="3">
                  <c:v>1.648898873403805</c:v>
                </c:pt>
                <c:pt idx="4">
                  <c:v>1.68125802435491</c:v>
                </c:pt>
                <c:pt idx="5">
                  <c:v>1.7256628362646429</c:v>
                </c:pt>
                <c:pt idx="6">
                  <c:v>1.781012992322401</c:v>
                </c:pt>
                <c:pt idx="7">
                  <c:v>1.8449726040166321</c:v>
                </c:pt>
                <c:pt idx="8">
                  <c:v>1.9236427635629529</c:v>
                </c:pt>
                <c:pt idx="9">
                  <c:v>2.027191182570331</c:v>
                </c:pt>
                <c:pt idx="10">
                  <c:v>2.1363651415867499</c:v>
                </c:pt>
                <c:pt idx="11">
                  <c:v>2.2512457270820931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46-4E2C-B686-F1375EF1F85E}"/>
            </c:ext>
          </c:extLst>
        </c:ser>
        <c:ser>
          <c:idx val="1"/>
          <c:order val="1"/>
          <c:tx>
            <c:v>Model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Hypotheticals!$AV$5:$AV$16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Hypotheticals!$AX$5:$AX$16</c:f>
              <c:numCache>
                <c:formatCode>General</c:formatCode>
                <c:ptCount val="12"/>
                <c:pt idx="0">
                  <c:v>1.6</c:v>
                </c:pt>
                <c:pt idx="1">
                  <c:v>1.6208167014175141</c:v>
                </c:pt>
                <c:pt idx="2">
                  <c:v>1.6538135775149641</c:v>
                </c:pt>
                <c:pt idx="3">
                  <c:v>1.7049648501834129</c:v>
                </c:pt>
                <c:pt idx="4">
                  <c:v>1.7795411399653569</c:v>
                </c:pt>
                <c:pt idx="5">
                  <c:v>1.8739683280755159</c:v>
                </c:pt>
                <c:pt idx="6">
                  <c:v>2.0006077809905118</c:v>
                </c:pt>
                <c:pt idx="7">
                  <c:v>2.1504353057197099</c:v>
                </c:pt>
                <c:pt idx="8">
                  <c:v>2.325168007959395</c:v>
                </c:pt>
                <c:pt idx="9">
                  <c:v>2.5164968507975831</c:v>
                </c:pt>
                <c:pt idx="10">
                  <c:v>2.7963797606738412</c:v>
                </c:pt>
                <c:pt idx="11">
                  <c:v>3.048671355235347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46-4E2C-B686-F1375EF1F85E}"/>
            </c:ext>
          </c:extLst>
        </c:ser>
        <c:ser>
          <c:idx val="2"/>
          <c:order val="2"/>
          <c:tx>
            <c:v>Model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Hypotheticals!$AV$5:$AV$16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Hypotheticals!$AY$5:$AY$16</c:f>
              <c:numCache>
                <c:formatCode>General</c:formatCode>
                <c:ptCount val="12"/>
                <c:pt idx="0">
                  <c:v>1.6</c:v>
                </c:pt>
                <c:pt idx="1">
                  <c:v>1.6299203447265329</c:v>
                </c:pt>
                <c:pt idx="2">
                  <c:v>1.756092438119544</c:v>
                </c:pt>
                <c:pt idx="3">
                  <c:v>1.9636423929514659</c:v>
                </c:pt>
                <c:pt idx="4">
                  <c:v>2.2338641111840429</c:v>
                </c:pt>
                <c:pt idx="5">
                  <c:v>2.524273115741714</c:v>
                </c:pt>
                <c:pt idx="6">
                  <c:v>2.80376923371221</c:v>
                </c:pt>
                <c:pt idx="7">
                  <c:v>3.0459817675006939</c:v>
                </c:pt>
                <c:pt idx="8">
                  <c:v>3.24738225695324</c:v>
                </c:pt>
                <c:pt idx="9">
                  <c:v>3.4059597666487931</c:v>
                </c:pt>
                <c:pt idx="10">
                  <c:v>3.5321978393780151</c:v>
                </c:pt>
                <c:pt idx="11">
                  <c:v>3.6235825668090209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46-4E2C-B686-F1375EF1F85E}"/>
            </c:ext>
          </c:extLst>
        </c:ser>
        <c:ser>
          <c:idx val="3"/>
          <c:order val="3"/>
          <c:tx>
            <c:v>Model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Hypotheticals!$AV$5:$AV$16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Hypotheticals!$AZ$5:$AZ$16</c:f>
              <c:numCache>
                <c:formatCode>General</c:formatCode>
                <c:ptCount val="12"/>
                <c:pt idx="0">
                  <c:v>1.6</c:v>
                </c:pt>
                <c:pt idx="1">
                  <c:v>1.605324533167193</c:v>
                </c:pt>
                <c:pt idx="2">
                  <c:v>1.60990758032366</c:v>
                </c:pt>
                <c:pt idx="3">
                  <c:v>1.615760760627253</c:v>
                </c:pt>
                <c:pt idx="4">
                  <c:v>1.6272251911111779</c:v>
                </c:pt>
                <c:pt idx="5">
                  <c:v>1.6393413042485601</c:v>
                </c:pt>
                <c:pt idx="6">
                  <c:v>1.65456462432619</c:v>
                </c:pt>
                <c:pt idx="7">
                  <c:v>1.676982374676488</c:v>
                </c:pt>
                <c:pt idx="8">
                  <c:v>1.70467905360923</c:v>
                </c:pt>
                <c:pt idx="9">
                  <c:v>1.738735370960746</c:v>
                </c:pt>
                <c:pt idx="10">
                  <c:v>1.7818158813028979</c:v>
                </c:pt>
                <c:pt idx="11">
                  <c:v>1.832225079843264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46-4E2C-B686-F1375EF1F85E}"/>
            </c:ext>
          </c:extLst>
        </c:ser>
        <c:ser>
          <c:idx val="4"/>
          <c:order val="4"/>
          <c:tx>
            <c:v>Model 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Hypotheticals!$AV$5:$AV$16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Hypotheticals!$BA$5:$BA$16</c:f>
              <c:numCache>
                <c:formatCode>General</c:formatCode>
                <c:ptCount val="12"/>
                <c:pt idx="0">
                  <c:v>1.6</c:v>
                </c:pt>
                <c:pt idx="1">
                  <c:v>1.7737912236909781</c:v>
                </c:pt>
                <c:pt idx="2">
                  <c:v>1.9974754294067529</c:v>
                </c:pt>
                <c:pt idx="3">
                  <c:v>2.2582261804125712</c:v>
                </c:pt>
                <c:pt idx="4">
                  <c:v>2.4426330588910732</c:v>
                </c:pt>
                <c:pt idx="5">
                  <c:v>2.6030944884349512</c:v>
                </c:pt>
                <c:pt idx="6">
                  <c:v>2.7485708175090111</c:v>
                </c:pt>
                <c:pt idx="7">
                  <c:v>2.6218783202746798</c:v>
                </c:pt>
                <c:pt idx="8">
                  <c:v>2.6096783830639412</c:v>
                </c:pt>
                <c:pt idx="9">
                  <c:v>2.6543736499407151</c:v>
                </c:pt>
                <c:pt idx="10">
                  <c:v>2.5768719331325651</c:v>
                </c:pt>
                <c:pt idx="11">
                  <c:v>2.6957789271079138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46-4E2C-B686-F1375EF1F85E}"/>
            </c:ext>
          </c:extLst>
        </c:ser>
        <c:ser>
          <c:idx val="5"/>
          <c:order val="5"/>
          <c:tx>
            <c:v>Model 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Hypotheticals!$AV$5:$AV$16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</c:numCache>
            </c:numRef>
          </c:xVal>
          <c:yVal>
            <c:numRef>
              <c:f>Hypotheticals!$BB$5:$BB$16</c:f>
              <c:numCache>
                <c:formatCode>General</c:formatCode>
                <c:ptCount val="12"/>
                <c:pt idx="0">
                  <c:v>1.6</c:v>
                </c:pt>
                <c:pt idx="1">
                  <c:v>1.598901089001624</c:v>
                </c:pt>
                <c:pt idx="2">
                  <c:v>1.5991828977166329</c:v>
                </c:pt>
                <c:pt idx="3">
                  <c:v>1.60295109231508</c:v>
                </c:pt>
                <c:pt idx="4">
                  <c:v>1.6106293828342719</c:v>
                </c:pt>
                <c:pt idx="5">
                  <c:v>1.625178422389788</c:v>
                </c:pt>
                <c:pt idx="6">
                  <c:v>1.6386467521089749</c:v>
                </c:pt>
                <c:pt idx="7">
                  <c:v>1.6573278784126251</c:v>
                </c:pt>
                <c:pt idx="8">
                  <c:v>1.68204296796912</c:v>
                </c:pt>
                <c:pt idx="9">
                  <c:v>1.710157707472004</c:v>
                </c:pt>
                <c:pt idx="10">
                  <c:v>1.7458756328129581</c:v>
                </c:pt>
                <c:pt idx="11">
                  <c:v>1.7850656542086401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46-4E2C-B686-F1375EF1F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09567"/>
        <c:axId val="154914975"/>
      </c:scatterChart>
      <c:valAx>
        <c:axId val="15490956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14975"/>
        <c:crosses val="autoZero"/>
        <c:crossBetween val="midCat"/>
      </c:valAx>
      <c:valAx>
        <c:axId val="154914975"/>
        <c:scaling>
          <c:orientation val="minMax"/>
          <c:max val="4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0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Hypotheticals!$C$35</c:f>
              <c:strCache>
                <c:ptCount val="1"/>
                <c:pt idx="0">
                  <c:v>available_substrate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Hypotheticals!$C$36:$C$47</c:f>
              <c:numCache>
                <c:formatCode>General</c:formatCode>
                <c:ptCount val="12"/>
                <c:pt idx="0">
                  <c:v>71.900000000000006</c:v>
                </c:pt>
                <c:pt idx="1">
                  <c:v>71.640405052478371</c:v>
                </c:pt>
                <c:pt idx="2">
                  <c:v>71.421751030292199</c:v>
                </c:pt>
                <c:pt idx="3">
                  <c:v>70.944024395622307</c:v>
                </c:pt>
                <c:pt idx="4">
                  <c:v>70.086209809435957</c:v>
                </c:pt>
                <c:pt idx="5">
                  <c:v>68.856203691952288</c:v>
                </c:pt>
                <c:pt idx="6">
                  <c:v>67.289220669609762</c:v>
                </c:pt>
                <c:pt idx="7">
                  <c:v>65.456530073294573</c:v>
                </c:pt>
                <c:pt idx="8">
                  <c:v>63.179781778779613</c:v>
                </c:pt>
                <c:pt idx="9">
                  <c:v>60.16017426162027</c:v>
                </c:pt>
                <c:pt idx="10">
                  <c:v>56.967783542887169</c:v>
                </c:pt>
                <c:pt idx="11">
                  <c:v>53.601312220668362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60-4DE0-B089-9965E6E7B1CA}"/>
            </c:ext>
          </c:extLst>
        </c:ser>
        <c:ser>
          <c:idx val="1"/>
          <c:order val="1"/>
          <c:tx>
            <c:v>Dead coral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Hypotheticals!$E$36:$E$47</c:f>
              <c:numCache>
                <c:formatCode>General</c:formatCode>
                <c:ptCount val="12"/>
                <c:pt idx="0">
                  <c:v>1</c:v>
                </c:pt>
                <c:pt idx="1">
                  <c:v>1.134438506134392</c:v>
                </c:pt>
                <c:pt idx="2">
                  <c:v>1.2426499904873189</c:v>
                </c:pt>
                <c:pt idx="3">
                  <c:v>1.3395514568449729</c:v>
                </c:pt>
                <c:pt idx="4">
                  <c:v>1.399886315513726</c:v>
                </c:pt>
                <c:pt idx="5">
                  <c:v>1.437459119532488</c:v>
                </c:pt>
                <c:pt idx="6">
                  <c:v>1.4551195568404609</c:v>
                </c:pt>
                <c:pt idx="7">
                  <c:v>1.616911441614687</c:v>
                </c:pt>
                <c:pt idx="8">
                  <c:v>1.711653420062345</c:v>
                </c:pt>
                <c:pt idx="9">
                  <c:v>1.648420328679824</c:v>
                </c:pt>
                <c:pt idx="10">
                  <c:v>1.69749435663921</c:v>
                </c:pt>
                <c:pt idx="11">
                  <c:v>1.783578446068715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60-4DE0-B089-9965E6E7B1CA}"/>
            </c:ext>
          </c:extLst>
        </c:ser>
        <c:ser>
          <c:idx val="2"/>
          <c:order val="2"/>
          <c:tx>
            <c:v>TF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Hypotheticals!$G$36:$G$47</c:f>
              <c:numCache>
                <c:formatCode>General</c:formatCode>
                <c:ptCount val="12"/>
                <c:pt idx="0">
                  <c:v>62.4</c:v>
                </c:pt>
                <c:pt idx="1">
                  <c:v>62.108255861022201</c:v>
                </c:pt>
                <c:pt idx="2">
                  <c:v>61.683904650316443</c:v>
                </c:pt>
                <c:pt idx="3">
                  <c:v>61.103670179872402</c:v>
                </c:pt>
                <c:pt idx="4">
                  <c:v>60.180811559242592</c:v>
                </c:pt>
                <c:pt idx="5">
                  <c:v>58.909272165900127</c:v>
                </c:pt>
                <c:pt idx="6">
                  <c:v>57.321293820995329</c:v>
                </c:pt>
                <c:pt idx="7">
                  <c:v>55.324000448758653</c:v>
                </c:pt>
                <c:pt idx="8">
                  <c:v>52.950132861006303</c:v>
                </c:pt>
                <c:pt idx="9">
                  <c:v>49.991735025146831</c:v>
                </c:pt>
                <c:pt idx="10">
                  <c:v>46.748548934440279</c:v>
                </c:pt>
                <c:pt idx="11">
                  <c:v>43.294524906871878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60-4DE0-B089-9965E6E7B1CA}"/>
            </c:ext>
          </c:extLst>
        </c:ser>
        <c:ser>
          <c:idx val="3"/>
          <c:order val="3"/>
          <c:tx>
            <c:v>Rubble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Hypotheticals!$I$36:$I$47</c:f>
              <c:numCache>
                <c:formatCode>General</c:formatCode>
                <c:ptCount val="12"/>
                <c:pt idx="0">
                  <c:v>1</c:v>
                </c:pt>
                <c:pt idx="1">
                  <c:v>0.83468335786191117</c:v>
                </c:pt>
                <c:pt idx="2">
                  <c:v>0.69577483485849467</c:v>
                </c:pt>
                <c:pt idx="3">
                  <c:v>0.57995614786179384</c:v>
                </c:pt>
                <c:pt idx="4">
                  <c:v>0.48339792680337967</c:v>
                </c:pt>
                <c:pt idx="5">
                  <c:v>0.40290308456249591</c:v>
                </c:pt>
                <c:pt idx="6">
                  <c:v>0.33580332132504631</c:v>
                </c:pt>
                <c:pt idx="7">
                  <c:v>0.27987227770991713</c:v>
                </c:pt>
                <c:pt idx="8">
                  <c:v>0.23325286300554529</c:v>
                </c:pt>
                <c:pt idx="9">
                  <c:v>0.1943962469262091</c:v>
                </c:pt>
                <c:pt idx="10">
                  <c:v>0.16201063760865761</c:v>
                </c:pt>
                <c:pt idx="11">
                  <c:v>0.13501896468720889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60-4DE0-B089-9965E6E7B1CA}"/>
            </c:ext>
          </c:extLst>
        </c:ser>
        <c:ser>
          <c:idx val="4"/>
          <c:order val="4"/>
          <c:tx>
            <c:v>Coral cover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Hypotheticals!$K$36:$K$47</c:f>
              <c:numCache>
                <c:formatCode>General</c:formatCode>
                <c:ptCount val="12"/>
                <c:pt idx="0">
                  <c:v>20.6</c:v>
                </c:pt>
                <c:pt idx="1">
                  <c:v>20.998483836410511</c:v>
                </c:pt>
                <c:pt idx="2">
                  <c:v>21.449125667613892</c:v>
                </c:pt>
                <c:pt idx="3">
                  <c:v>22.044575285193659</c:v>
                </c:pt>
                <c:pt idx="4">
                  <c:v>23.000532477249909</c:v>
                </c:pt>
                <c:pt idx="5">
                  <c:v>24.3123437596645</c:v>
                </c:pt>
                <c:pt idx="6">
                  <c:v>25.947503465949811</c:v>
                </c:pt>
                <c:pt idx="7">
                  <c:v>27.83700454997436</c:v>
                </c:pt>
                <c:pt idx="8">
                  <c:v>30.161086072760789</c:v>
                </c:pt>
                <c:pt idx="9">
                  <c:v>33.220123561900458</c:v>
                </c:pt>
                <c:pt idx="10">
                  <c:v>36.445351302415048</c:v>
                </c:pt>
                <c:pt idx="11">
                  <c:v>39.839164758702879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60-4DE0-B089-9965E6E7B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211087"/>
        <c:axId val="716216079"/>
      </c:scatterChart>
      <c:valAx>
        <c:axId val="7162110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6079"/>
        <c:crosses val="autoZero"/>
        <c:crossBetween val="midCat"/>
      </c:valAx>
      <c:valAx>
        <c:axId val="7162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Hypotheticals!$C$35</c:f>
              <c:strCache>
                <c:ptCount val="1"/>
                <c:pt idx="0">
                  <c:v>available_substrate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Hypotheticals!$Q$36:$Q$47</c:f>
              <c:numCache>
                <c:formatCode>General</c:formatCode>
                <c:ptCount val="12"/>
                <c:pt idx="0">
                  <c:v>71.900000000000006</c:v>
                </c:pt>
                <c:pt idx="1">
                  <c:v>71.423919866214902</c:v>
                </c:pt>
                <c:pt idx="2">
                  <c:v>70.681079009224575</c:v>
                </c:pt>
                <c:pt idx="3">
                  <c:v>69.287666918091816</c:v>
                </c:pt>
                <c:pt idx="4">
                  <c:v>67.182632984348913</c:v>
                </c:pt>
                <c:pt idx="5">
                  <c:v>64.474805948390596</c:v>
                </c:pt>
                <c:pt idx="6">
                  <c:v>60.801715224745962</c:v>
                </c:pt>
                <c:pt idx="7">
                  <c:v>56.432210802273758</c:v>
                </c:pt>
                <c:pt idx="8">
                  <c:v>51.31745260420044</c:v>
                </c:pt>
                <c:pt idx="9">
                  <c:v>45.704478951041189</c:v>
                </c:pt>
                <c:pt idx="10">
                  <c:v>39.990059848921547</c:v>
                </c:pt>
                <c:pt idx="11">
                  <c:v>34.836676281962852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15-4996-9AE5-E26AEE9582D7}"/>
            </c:ext>
          </c:extLst>
        </c:ser>
        <c:ser>
          <c:idx val="1"/>
          <c:order val="1"/>
          <c:tx>
            <c:v>Dead coral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Hypotheticals!$S$36:$S$47</c:f>
              <c:numCache>
                <c:formatCode>General</c:formatCode>
                <c:ptCount val="12"/>
                <c:pt idx="0">
                  <c:v>1</c:v>
                </c:pt>
                <c:pt idx="1">
                  <c:v>1.131023416312551</c:v>
                </c:pt>
                <c:pt idx="2">
                  <c:v>1.2298256074986309</c:v>
                </c:pt>
                <c:pt idx="3">
                  <c:v>1.296905439847122</c:v>
                </c:pt>
                <c:pt idx="4">
                  <c:v>1.3307405099437231</c:v>
                </c:pt>
                <c:pt idx="5">
                  <c:v>1.334866712471372</c:v>
                </c:pt>
                <c:pt idx="6">
                  <c:v>1.301808591839529</c:v>
                </c:pt>
                <c:pt idx="7">
                  <c:v>1.23843484920242</c:v>
                </c:pt>
                <c:pt idx="8">
                  <c:v>1.1440456370843259</c:v>
                </c:pt>
                <c:pt idx="9">
                  <c:v>1.025481612430049</c:v>
                </c:pt>
                <c:pt idx="10">
                  <c:v>0.89408857332847747</c:v>
                </c:pt>
                <c:pt idx="11">
                  <c:v>0.89979936847674491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15-4996-9AE5-E26AEE9582D7}"/>
            </c:ext>
          </c:extLst>
        </c:ser>
        <c:ser>
          <c:idx val="2"/>
          <c:order val="2"/>
          <c:tx>
            <c:v>TF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Hypotheticals!$U$36:$U$47</c:f>
              <c:numCache>
                <c:formatCode>General</c:formatCode>
                <c:ptCount val="12"/>
                <c:pt idx="0">
                  <c:v>62.4</c:v>
                </c:pt>
                <c:pt idx="1">
                  <c:v>61.895115613711368</c:v>
                </c:pt>
                <c:pt idx="2">
                  <c:v>60.95597526408713</c:v>
                </c:pt>
                <c:pt idx="3">
                  <c:v>59.4898134392309</c:v>
                </c:pt>
                <c:pt idx="4">
                  <c:v>57.346146476759657</c:v>
                </c:pt>
                <c:pt idx="5">
                  <c:v>54.630122074436443</c:v>
                </c:pt>
                <c:pt idx="6">
                  <c:v>50.986607193013768</c:v>
                </c:pt>
                <c:pt idx="7">
                  <c:v>46.67748231190442</c:v>
                </c:pt>
                <c:pt idx="8">
                  <c:v>41.654513965353168</c:v>
                </c:pt>
                <c:pt idx="9">
                  <c:v>36.157826450249694</c:v>
                </c:pt>
                <c:pt idx="10">
                  <c:v>30.572788188262852</c:v>
                </c:pt>
                <c:pt idx="11">
                  <c:v>25.41191735518747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15-4996-9AE5-E26AEE9582D7}"/>
            </c:ext>
          </c:extLst>
        </c:ser>
        <c:ser>
          <c:idx val="3"/>
          <c:order val="3"/>
          <c:tx>
            <c:v>Rubble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Hypotheticals!$W$36:$W$47</c:f>
              <c:numCache>
                <c:formatCode>General</c:formatCode>
                <c:ptCount val="12"/>
                <c:pt idx="0">
                  <c:v>1</c:v>
                </c:pt>
                <c:pt idx="1">
                  <c:v>0.83468707347998383</c:v>
                </c:pt>
                <c:pt idx="2">
                  <c:v>0.69577988845918703</c:v>
                </c:pt>
                <c:pt idx="3">
                  <c:v>0.57996348342606052</c:v>
                </c:pt>
                <c:pt idx="4">
                  <c:v>0.48340800639715897</c:v>
                </c:pt>
                <c:pt idx="5">
                  <c:v>0.40291588006924473</c:v>
                </c:pt>
                <c:pt idx="6">
                  <c:v>0.33581886144460182</c:v>
                </c:pt>
                <c:pt idx="7">
                  <c:v>0.27989040286729949</c:v>
                </c:pt>
                <c:pt idx="8">
                  <c:v>0.2332732843994833</c:v>
                </c:pt>
                <c:pt idx="9">
                  <c:v>0.19441848013533181</c:v>
                </c:pt>
                <c:pt idx="10">
                  <c:v>0.16203418739074149</c:v>
                </c:pt>
                <c:pt idx="11">
                  <c:v>0.13504317220540979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15-4996-9AE5-E26AEE9582D7}"/>
            </c:ext>
          </c:extLst>
        </c:ser>
        <c:ser>
          <c:idx val="4"/>
          <c:order val="4"/>
          <c:tx>
            <c:v>Coral cover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Hypotheticals!$Y$36:$Y$47</c:f>
              <c:numCache>
                <c:formatCode>General</c:formatCode>
                <c:ptCount val="12"/>
                <c:pt idx="0">
                  <c:v>20.6</c:v>
                </c:pt>
                <c:pt idx="1">
                  <c:v>21.21496902267398</c:v>
                </c:pt>
                <c:pt idx="2">
                  <c:v>22.189765953174732</c:v>
                </c:pt>
                <c:pt idx="3">
                  <c:v>23.700881837028451</c:v>
                </c:pt>
                <c:pt idx="4">
                  <c:v>25.904021860128719</c:v>
                </c:pt>
                <c:pt idx="5">
                  <c:v>28.69359905688378</c:v>
                </c:pt>
                <c:pt idx="6">
                  <c:v>32.434794120842312</c:v>
                </c:pt>
                <c:pt idx="7">
                  <c:v>36.861013462916112</c:v>
                </c:pt>
                <c:pt idx="8">
                  <c:v>42.022983986983583</c:v>
                </c:pt>
                <c:pt idx="9">
                  <c:v>47.675239314551924</c:v>
                </c:pt>
                <c:pt idx="10">
                  <c:v>53.42232165287345</c:v>
                </c:pt>
                <c:pt idx="11">
                  <c:v>58.602847208551182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115-4996-9AE5-E26AEE958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211087"/>
        <c:axId val="716216079"/>
      </c:scatterChart>
      <c:valAx>
        <c:axId val="7162110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6079"/>
        <c:crosses val="autoZero"/>
        <c:crossBetween val="midCat"/>
      </c:valAx>
      <c:valAx>
        <c:axId val="7162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Hypotheticals!$C$35</c:f>
              <c:strCache>
                <c:ptCount val="1"/>
                <c:pt idx="0">
                  <c:v>available_substrate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Hypotheticals!$AE$36:$AE$47</c:f>
              <c:numCache>
                <c:formatCode>General</c:formatCode>
                <c:ptCount val="12"/>
                <c:pt idx="0">
                  <c:v>71.900000000000006</c:v>
                </c:pt>
                <c:pt idx="1">
                  <c:v>71.424508093682874</c:v>
                </c:pt>
                <c:pt idx="2">
                  <c:v>68.974710316920721</c:v>
                </c:pt>
                <c:pt idx="3">
                  <c:v>64.830414312582491</c:v>
                </c:pt>
                <c:pt idx="4">
                  <c:v>59.379589495039603</c:v>
                </c:pt>
                <c:pt idx="5">
                  <c:v>53.497840951321344</c:v>
                </c:pt>
                <c:pt idx="6">
                  <c:v>47.826492169575388</c:v>
                </c:pt>
                <c:pt idx="7">
                  <c:v>42.909314002892387</c:v>
                </c:pt>
                <c:pt idx="8">
                  <c:v>38.820671748908559</c:v>
                </c:pt>
                <c:pt idx="9">
                  <c:v>35.603455517673623</c:v>
                </c:pt>
                <c:pt idx="10">
                  <c:v>33.043732105036561</c:v>
                </c:pt>
                <c:pt idx="11">
                  <c:v>31.194230248653071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65-4A31-8743-F8AC82BE1C57}"/>
            </c:ext>
          </c:extLst>
        </c:ser>
        <c:ser>
          <c:idx val="1"/>
          <c:order val="1"/>
          <c:tx>
            <c:v>Dead coral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Hypotheticals!$AG$36:$AG$47</c:f>
              <c:numCache>
                <c:formatCode>General</c:formatCode>
                <c:ptCount val="12"/>
                <c:pt idx="0">
                  <c:v>1</c:v>
                </c:pt>
                <c:pt idx="1">
                  <c:v>1.139713746637085</c:v>
                </c:pt>
                <c:pt idx="2">
                  <c:v>1.238200347199764</c:v>
                </c:pt>
                <c:pt idx="3">
                  <c:v>1.2782284181902679</c:v>
                </c:pt>
                <c:pt idx="4">
                  <c:v>1.2466430031345861</c:v>
                </c:pt>
                <c:pt idx="5">
                  <c:v>1.2532419143673039</c:v>
                </c:pt>
                <c:pt idx="6">
                  <c:v>1.1996273563708251</c:v>
                </c:pt>
                <c:pt idx="7">
                  <c:v>1.18779445076976</c:v>
                </c:pt>
                <c:pt idx="8">
                  <c:v>1.2055590750105669</c:v>
                </c:pt>
                <c:pt idx="9">
                  <c:v>1.234329901071576</c:v>
                </c:pt>
                <c:pt idx="10">
                  <c:v>1.2627285250550311</c:v>
                </c:pt>
                <c:pt idx="11">
                  <c:v>1.323328565861847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65-4A31-8743-F8AC82BE1C57}"/>
            </c:ext>
          </c:extLst>
        </c:ser>
        <c:ser>
          <c:idx val="2"/>
          <c:order val="2"/>
          <c:tx>
            <c:v>TF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Hypotheticals!$AI$36:$AI$47</c:f>
              <c:numCache>
                <c:formatCode>General</c:formatCode>
                <c:ptCount val="12"/>
                <c:pt idx="0">
                  <c:v>62.4</c:v>
                </c:pt>
                <c:pt idx="1">
                  <c:v>61.807015945946702</c:v>
                </c:pt>
                <c:pt idx="2">
                  <c:v>59.251915895671623</c:v>
                </c:pt>
                <c:pt idx="3">
                  <c:v>55.061735371297978</c:v>
                </c:pt>
                <c:pt idx="4">
                  <c:v>49.637421908089777</c:v>
                </c:pt>
                <c:pt idx="5">
                  <c:v>43.744661704625358</c:v>
                </c:pt>
                <c:pt idx="6">
                  <c:v>38.123083903589091</c:v>
                </c:pt>
                <c:pt idx="7">
                  <c:v>33.214402911894403</c:v>
                </c:pt>
                <c:pt idx="8">
                  <c:v>29.10511180282154</c:v>
                </c:pt>
                <c:pt idx="9">
                  <c:v>25.856647322045031</c:v>
                </c:pt>
                <c:pt idx="10">
                  <c:v>23.266405196328542</c:v>
                </c:pt>
                <c:pt idx="11">
                  <c:v>21.35450504218089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65-4A31-8743-F8AC82BE1C57}"/>
            </c:ext>
          </c:extLst>
        </c:ser>
        <c:ser>
          <c:idx val="3"/>
          <c:order val="3"/>
          <c:tx>
            <c:v>Rubble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Hypotheticals!$AK$36:$AK$47</c:f>
              <c:numCache>
                <c:formatCode>General</c:formatCode>
                <c:ptCount val="12"/>
                <c:pt idx="0">
                  <c:v>1</c:v>
                </c:pt>
                <c:pt idx="1">
                  <c:v>0.83362762246876099</c:v>
                </c:pt>
                <c:pt idx="2">
                  <c:v>0.69490114993081531</c:v>
                </c:pt>
                <c:pt idx="3">
                  <c:v>0.5792399437019935</c:v>
                </c:pt>
                <c:pt idx="4">
                  <c:v>0.48281715317743379</c:v>
                </c:pt>
                <c:pt idx="5">
                  <c:v>0.40243710416157141</c:v>
                </c:pt>
                <c:pt idx="6">
                  <c:v>0.3354329527542167</c:v>
                </c:pt>
                <c:pt idx="7">
                  <c:v>0.2795799721030891</c:v>
                </c:pt>
                <c:pt idx="8">
                  <c:v>0.23302310709012</c:v>
                </c:pt>
                <c:pt idx="9">
                  <c:v>0.19421570068904331</c:v>
                </c:pt>
                <c:pt idx="10">
                  <c:v>0.16186845566242269</c:v>
                </c:pt>
                <c:pt idx="11">
                  <c:v>0.13490644907670341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65-4A31-8743-F8AC82BE1C57}"/>
            </c:ext>
          </c:extLst>
        </c:ser>
        <c:ser>
          <c:idx val="4"/>
          <c:order val="4"/>
          <c:tx>
            <c:v>Coral cover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Hypotheticals!$AM$36:$AM$47</c:f>
              <c:numCache>
                <c:formatCode>General</c:formatCode>
                <c:ptCount val="12"/>
                <c:pt idx="0">
                  <c:v>20.7</c:v>
                </c:pt>
                <c:pt idx="1">
                  <c:v>21.314380795206009</c:v>
                </c:pt>
                <c:pt idx="2">
                  <c:v>23.905183534282219</c:v>
                </c:pt>
                <c:pt idx="3">
                  <c:v>28.166989588325791</c:v>
                </c:pt>
                <c:pt idx="4">
                  <c:v>33.715690168050173</c:v>
                </c:pt>
                <c:pt idx="5">
                  <c:v>39.678914080938682</c:v>
                </c:pt>
                <c:pt idx="6">
                  <c:v>45.418054080332851</c:v>
                </c:pt>
                <c:pt idx="7">
                  <c:v>50.391617402478317</c:v>
                </c:pt>
                <c:pt idx="8">
                  <c:v>54.527151066801657</c:v>
                </c:pt>
                <c:pt idx="9">
                  <c:v>57.783362764862282</c:v>
                </c:pt>
                <c:pt idx="10">
                  <c:v>60.375520315770338</c:v>
                </c:pt>
                <c:pt idx="11">
                  <c:v>62.252003425236587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65-4A31-8743-F8AC82BE1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211087"/>
        <c:axId val="716216079"/>
      </c:scatterChart>
      <c:valAx>
        <c:axId val="7162110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6079"/>
        <c:crosses val="autoZero"/>
        <c:crossBetween val="midCat"/>
      </c:valAx>
      <c:valAx>
        <c:axId val="7162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Hypotheticals!$C$35</c:f>
              <c:strCache>
                <c:ptCount val="1"/>
                <c:pt idx="0">
                  <c:v>available_substrate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Hypotheticals!$AS$36:$AS$47</c:f>
              <c:numCache>
                <c:formatCode>General</c:formatCode>
                <c:ptCount val="12"/>
                <c:pt idx="0">
                  <c:v>50</c:v>
                </c:pt>
                <c:pt idx="1">
                  <c:v>49.981591010980686</c:v>
                </c:pt>
                <c:pt idx="2">
                  <c:v>50.881143790496793</c:v>
                </c:pt>
                <c:pt idx="3">
                  <c:v>50.821644567547182</c:v>
                </c:pt>
                <c:pt idx="4">
                  <c:v>50.577510990007262</c:v>
                </c:pt>
                <c:pt idx="5">
                  <c:v>50.298378037571602</c:v>
                </c:pt>
                <c:pt idx="6">
                  <c:v>49.914320878945077</c:v>
                </c:pt>
                <c:pt idx="7">
                  <c:v>49.306774003461641</c:v>
                </c:pt>
                <c:pt idx="8">
                  <c:v>48.534139576732493</c:v>
                </c:pt>
                <c:pt idx="9">
                  <c:v>47.566008915806499</c:v>
                </c:pt>
                <c:pt idx="10">
                  <c:v>46.324931320785751</c:v>
                </c:pt>
                <c:pt idx="11">
                  <c:v>44.862049929975868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4B-4186-A8AD-CE97FBB674CF}"/>
            </c:ext>
          </c:extLst>
        </c:ser>
        <c:ser>
          <c:idx val="1"/>
          <c:order val="1"/>
          <c:tx>
            <c:v>Dead coral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Hypotheticals!$AU$36:$AU$47</c:f>
              <c:numCache>
                <c:formatCode>General</c:formatCode>
                <c:ptCount val="12"/>
                <c:pt idx="0">
                  <c:v>1</c:v>
                </c:pt>
                <c:pt idx="1">
                  <c:v>1.156516592629816</c:v>
                </c:pt>
                <c:pt idx="2">
                  <c:v>1.340352480465977</c:v>
                </c:pt>
                <c:pt idx="3">
                  <c:v>1.5480196624411391</c:v>
                </c:pt>
                <c:pt idx="4">
                  <c:v>1.663132242643294</c:v>
                </c:pt>
                <c:pt idx="5">
                  <c:v>1.8807997800109311</c:v>
                </c:pt>
                <c:pt idx="6">
                  <c:v>2.0864550048560768</c:v>
                </c:pt>
                <c:pt idx="7">
                  <c:v>2.2668654987716148</c:v>
                </c:pt>
                <c:pt idx="8">
                  <c:v>2.4116471173533132</c:v>
                </c:pt>
                <c:pt idx="9">
                  <c:v>2.5336084591354018</c:v>
                </c:pt>
                <c:pt idx="10">
                  <c:v>2.609683654819535</c:v>
                </c:pt>
                <c:pt idx="11">
                  <c:v>2.6482804123615158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4B-4186-A8AD-CE97FBB674CF}"/>
            </c:ext>
          </c:extLst>
        </c:ser>
        <c:ser>
          <c:idx val="2"/>
          <c:order val="2"/>
          <c:tx>
            <c:v>TF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Hypotheticals!$AW$36:$AW$47</c:f>
              <c:numCache>
                <c:formatCode>General</c:formatCode>
                <c:ptCount val="12"/>
                <c:pt idx="0">
                  <c:v>48</c:v>
                </c:pt>
                <c:pt idx="1">
                  <c:v>48.723807248267043</c:v>
                </c:pt>
                <c:pt idx="2">
                  <c:v>48.537305779564512</c:v>
                </c:pt>
                <c:pt idx="3">
                  <c:v>48.267374021171051</c:v>
                </c:pt>
                <c:pt idx="4">
                  <c:v>47.905803132604667</c:v>
                </c:pt>
                <c:pt idx="5">
                  <c:v>47.407060743064619</c:v>
                </c:pt>
                <c:pt idx="6">
                  <c:v>46.815723369907502</c:v>
                </c:pt>
                <c:pt idx="7">
                  <c:v>46.026401853549963</c:v>
                </c:pt>
                <c:pt idx="8">
                  <c:v>45.107844253810917</c:v>
                </c:pt>
                <c:pt idx="9">
                  <c:v>44.016796741412719</c:v>
                </c:pt>
                <c:pt idx="10">
                  <c:v>42.698842586743858</c:v>
                </c:pt>
                <c:pt idx="11">
                  <c:v>41.196694183996883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4B-4186-A8AD-CE97FBB674CF}"/>
            </c:ext>
          </c:extLst>
        </c:ser>
        <c:ser>
          <c:idx val="3"/>
          <c:order val="3"/>
          <c:tx>
            <c:v>Rubble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Hypotheticals!$AY$36:$AY$47</c:f>
              <c:numCache>
                <c:formatCode>General</c:formatCode>
                <c:ptCount val="12"/>
                <c:pt idx="0">
                  <c:v>1</c:v>
                </c:pt>
                <c:pt idx="1">
                  <c:v>0.84862364974551852</c:v>
                </c:pt>
                <c:pt idx="2">
                  <c:v>0.70739716931676278</c:v>
                </c:pt>
                <c:pt idx="3">
                  <c:v>0.58964442713101284</c:v>
                </c:pt>
                <c:pt idx="4">
                  <c:v>0.49147277677903278</c:v>
                </c:pt>
                <c:pt idx="5">
                  <c:v>0.40963212565983043</c:v>
                </c:pt>
                <c:pt idx="6">
                  <c:v>0.34141004545251152</c:v>
                </c:pt>
                <c:pt idx="7">
                  <c:v>0.28454335949778742</c:v>
                </c:pt>
                <c:pt idx="8">
                  <c:v>0.2371440297666694</c:v>
                </c:pt>
                <c:pt idx="9">
                  <c:v>0.19763731401779491</c:v>
                </c:pt>
                <c:pt idx="10">
                  <c:v>0.1647099764648827</c:v>
                </c:pt>
                <c:pt idx="11">
                  <c:v>0.1372669715376085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4B-4186-A8AD-CE97FBB674CF}"/>
            </c:ext>
          </c:extLst>
        </c:ser>
        <c:ser>
          <c:idx val="4"/>
          <c:order val="4"/>
          <c:tx>
            <c:v>Coral cover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Hypotheticals!$BA$36:$BA$47</c:f>
              <c:numCache>
                <c:formatCode>General</c:formatCode>
                <c:ptCount val="12"/>
                <c:pt idx="0">
                  <c:v>20.6</c:v>
                </c:pt>
                <c:pt idx="1">
                  <c:v>20.757297877908201</c:v>
                </c:pt>
                <c:pt idx="2">
                  <c:v>20.892690703800881</c:v>
                </c:pt>
                <c:pt idx="3">
                  <c:v>21.065605926949871</c:v>
                </c:pt>
                <c:pt idx="4">
                  <c:v>21.404289249960939</c:v>
                </c:pt>
                <c:pt idx="5">
                  <c:v>21.762224645452282</c:v>
                </c:pt>
                <c:pt idx="6">
                  <c:v>22.2119534512907</c:v>
                </c:pt>
                <c:pt idx="7">
                  <c:v>22.874220817621509</c:v>
                </c:pt>
                <c:pt idx="8">
                  <c:v>23.692438806771928</c:v>
                </c:pt>
                <c:pt idx="9">
                  <c:v>24.698533854084069</c:v>
                </c:pt>
                <c:pt idx="10">
                  <c:v>25.971222490484418</c:v>
                </c:pt>
                <c:pt idx="11">
                  <c:v>27.46041594810232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4B-4186-A8AD-CE97FBB67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211087"/>
        <c:axId val="716216079"/>
      </c:scatterChart>
      <c:valAx>
        <c:axId val="7162110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6079"/>
        <c:crosses val="autoZero"/>
        <c:crossBetween val="midCat"/>
      </c:valAx>
      <c:valAx>
        <c:axId val="7162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Hypotheticals!$C$35</c:f>
              <c:strCache>
                <c:ptCount val="1"/>
                <c:pt idx="0">
                  <c:v>available_substrate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Hypotheticals!$BG$36:$BG$47</c:f>
              <c:numCache>
                <c:formatCode>General</c:formatCode>
                <c:ptCount val="12"/>
                <c:pt idx="0">
                  <c:v>71.900000000000006</c:v>
                </c:pt>
                <c:pt idx="1">
                  <c:v>63.305661567734226</c:v>
                </c:pt>
                <c:pt idx="2">
                  <c:v>52.295874584154433</c:v>
                </c:pt>
                <c:pt idx="3">
                  <c:v>39.309900324886648</c:v>
                </c:pt>
                <c:pt idx="4">
                  <c:v>30.140221669727971</c:v>
                </c:pt>
                <c:pt idx="5">
                  <c:v>22.157132367891979</c:v>
                </c:pt>
                <c:pt idx="6">
                  <c:v>14.913050455553559</c:v>
                </c:pt>
                <c:pt idx="7">
                  <c:v>21.333918075103821</c:v>
                </c:pt>
                <c:pt idx="8">
                  <c:v>21.99301766281452</c:v>
                </c:pt>
                <c:pt idx="9">
                  <c:v>19.785451682936191</c:v>
                </c:pt>
                <c:pt idx="10">
                  <c:v>22.106926612246522</c:v>
                </c:pt>
                <c:pt idx="11">
                  <c:v>18.620877009068099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F8-4DEF-80CB-F3CC5C3CC57D}"/>
            </c:ext>
          </c:extLst>
        </c:ser>
        <c:ser>
          <c:idx val="1"/>
          <c:order val="1"/>
          <c:tx>
            <c:v>Dead coral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Hypotheticals!$BI$36:$BI$47</c:f>
              <c:numCache>
                <c:formatCode>General</c:formatCode>
                <c:ptCount val="12"/>
                <c:pt idx="0">
                  <c:v>1</c:v>
                </c:pt>
                <c:pt idx="1">
                  <c:v>1.002954339232085</c:v>
                </c:pt>
                <c:pt idx="2">
                  <c:v>0.91393158120395168</c:v>
                </c:pt>
                <c:pt idx="3">
                  <c:v>0.73747870236035828</c:v>
                </c:pt>
                <c:pt idx="4">
                  <c:v>0.59647099072679732</c:v>
                </c:pt>
                <c:pt idx="5">
                  <c:v>0.44147592757013621</c:v>
                </c:pt>
                <c:pt idx="6">
                  <c:v>0.26097037212871133</c:v>
                </c:pt>
                <c:pt idx="7">
                  <c:v>6.6763522904697643</c:v>
                </c:pt>
                <c:pt idx="8">
                  <c:v>7.4930458518433003</c:v>
                </c:pt>
                <c:pt idx="9">
                  <c:v>6.2766693622169463</c:v>
                </c:pt>
                <c:pt idx="10">
                  <c:v>8.6808731865784523</c:v>
                </c:pt>
                <c:pt idx="11">
                  <c:v>6.4570708535867709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F8-4DEF-80CB-F3CC5C3CC57D}"/>
            </c:ext>
          </c:extLst>
        </c:ser>
        <c:ser>
          <c:idx val="2"/>
          <c:order val="2"/>
          <c:tx>
            <c:v>TF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Hypotheticals!$BK$36:$BK$47</c:f>
              <c:numCache>
                <c:formatCode>General</c:formatCode>
                <c:ptCount val="12"/>
                <c:pt idx="0">
                  <c:v>62.4</c:v>
                </c:pt>
                <c:pt idx="1">
                  <c:v>53.90198487846849</c:v>
                </c:pt>
                <c:pt idx="2">
                  <c:v>42.883636910014999</c:v>
                </c:pt>
                <c:pt idx="3">
                  <c:v>30.066555811583079</c:v>
                </c:pt>
                <c:pt idx="4">
                  <c:v>21.03087888655487</c:v>
                </c:pt>
                <c:pt idx="5">
                  <c:v>13.195990161293169</c:v>
                </c:pt>
                <c:pt idx="6">
                  <c:v>6.1254399311831396</c:v>
                </c:pt>
                <c:pt idx="7">
                  <c:v>6.1274803575385182</c:v>
                </c:pt>
                <c:pt idx="8">
                  <c:v>5.9664361997748836</c:v>
                </c:pt>
                <c:pt idx="9">
                  <c:v>4.9720343425802884</c:v>
                </c:pt>
                <c:pt idx="10">
                  <c:v>4.8870001359883508</c:v>
                </c:pt>
                <c:pt idx="11">
                  <c:v>3.6223898706608511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F8-4DEF-80CB-F3CC5C3CC57D}"/>
            </c:ext>
          </c:extLst>
        </c:ser>
        <c:ser>
          <c:idx val="3"/>
          <c:order val="3"/>
          <c:tx>
            <c:v>Rubble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Hypotheticals!$BM$36:$BM$47</c:f>
              <c:numCache>
                <c:formatCode>General</c:formatCode>
                <c:ptCount val="12"/>
                <c:pt idx="0">
                  <c:v>1</c:v>
                </c:pt>
                <c:pt idx="1">
                  <c:v>0.83484287400131185</c:v>
                </c:pt>
                <c:pt idx="2">
                  <c:v>0.69597398646686914</c:v>
                </c:pt>
                <c:pt idx="3">
                  <c:v>0.58022047178817948</c:v>
                </c:pt>
                <c:pt idx="4">
                  <c:v>0.48372744995074918</c:v>
                </c:pt>
                <c:pt idx="5">
                  <c:v>0.40329311386975347</c:v>
                </c:pt>
                <c:pt idx="6">
                  <c:v>0.3362513211510878</c:v>
                </c:pt>
                <c:pt idx="7">
                  <c:v>0.28030277399081188</c:v>
                </c:pt>
                <c:pt idx="8">
                  <c:v>0.23364911617548789</c:v>
                </c:pt>
                <c:pt idx="9">
                  <c:v>0.19475544633774669</c:v>
                </c:pt>
                <c:pt idx="10">
                  <c:v>0.1623267970942569</c:v>
                </c:pt>
                <c:pt idx="11">
                  <c:v>0.13529654628034429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F8-4DEF-80CB-F3CC5C3CC57D}"/>
            </c:ext>
          </c:extLst>
        </c:ser>
        <c:ser>
          <c:idx val="4"/>
          <c:order val="4"/>
          <c:tx>
            <c:v>Coral cover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Hypotheticals!$BO$36:$BO$47</c:f>
              <c:numCache>
                <c:formatCode>General</c:formatCode>
                <c:ptCount val="12"/>
                <c:pt idx="0">
                  <c:v>20.6</c:v>
                </c:pt>
                <c:pt idx="1">
                  <c:v>29.33322732115467</c:v>
                </c:pt>
                <c:pt idx="2">
                  <c:v>40.573639668681039</c:v>
                </c:pt>
                <c:pt idx="3">
                  <c:v>53.67669248304378</c:v>
                </c:pt>
                <c:pt idx="4">
                  <c:v>62.943369793521271</c:v>
                </c:pt>
                <c:pt idx="5">
                  <c:v>71.006758212811604</c:v>
                </c:pt>
                <c:pt idx="6">
                  <c:v>78.317126507990523</c:v>
                </c:pt>
                <c:pt idx="7">
                  <c:v>71.950669360536722</c:v>
                </c:pt>
                <c:pt idx="8">
                  <c:v>71.337607189142773</c:v>
                </c:pt>
                <c:pt idx="9">
                  <c:v>73.583600499533432</c:v>
                </c:pt>
                <c:pt idx="10">
                  <c:v>71.294037226028266</c:v>
                </c:pt>
                <c:pt idx="11">
                  <c:v>74.806799234162668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F8-4DEF-80CB-F3CC5C3CC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211087"/>
        <c:axId val="716216079"/>
      </c:scatterChart>
      <c:valAx>
        <c:axId val="7162110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6079"/>
        <c:crosses val="autoZero"/>
        <c:crossBetween val="midCat"/>
      </c:valAx>
      <c:valAx>
        <c:axId val="7162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Hypotheticals!$C$35</c:f>
              <c:strCache>
                <c:ptCount val="1"/>
                <c:pt idx="0">
                  <c:v>available_substrate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Hypotheticals!$BU$36:$BU$47</c:f>
              <c:numCache>
                <c:formatCode>General</c:formatCode>
                <c:ptCount val="12"/>
                <c:pt idx="0">
                  <c:v>42.8</c:v>
                </c:pt>
                <c:pt idx="1">
                  <c:v>42.971353024734547</c:v>
                </c:pt>
                <c:pt idx="2">
                  <c:v>48.329068902448313</c:v>
                </c:pt>
                <c:pt idx="3">
                  <c:v>48.34179438223314</c:v>
                </c:pt>
                <c:pt idx="4">
                  <c:v>48.218383308315587</c:v>
                </c:pt>
                <c:pt idx="5">
                  <c:v>47.874781997911199</c:v>
                </c:pt>
                <c:pt idx="6">
                  <c:v>47.548737293573467</c:v>
                </c:pt>
                <c:pt idx="7">
                  <c:v>47.056718797484088</c:v>
                </c:pt>
                <c:pt idx="8">
                  <c:v>46.376453145888611</c:v>
                </c:pt>
                <c:pt idx="9">
                  <c:v>45.587420809312341</c:v>
                </c:pt>
                <c:pt idx="10">
                  <c:v>44.56682752828128</c:v>
                </c:pt>
                <c:pt idx="11">
                  <c:v>43.437867383681038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0F-4974-9AD8-964F4F5D1D69}"/>
            </c:ext>
          </c:extLst>
        </c:ser>
        <c:ser>
          <c:idx val="1"/>
          <c:order val="1"/>
          <c:tx>
            <c:v>Dead coral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Hypotheticals!$BW$36:$BW$47</c:f>
              <c:numCache>
                <c:formatCode>General</c:formatCode>
                <c:ptCount val="12"/>
                <c:pt idx="0">
                  <c:v>1</c:v>
                </c:pt>
                <c:pt idx="1">
                  <c:v>1.424354748326925</c:v>
                </c:pt>
                <c:pt idx="2">
                  <c:v>1.677957449501148</c:v>
                </c:pt>
                <c:pt idx="3">
                  <c:v>1.901212266515605</c:v>
                </c:pt>
                <c:pt idx="4">
                  <c:v>2.084221433187845</c:v>
                </c:pt>
                <c:pt idx="5">
                  <c:v>2.140817521061166</c:v>
                </c:pt>
                <c:pt idx="6">
                  <c:v>2.2906561663261762</c:v>
                </c:pt>
                <c:pt idx="7">
                  <c:v>2.4216319996486142</c:v>
                </c:pt>
                <c:pt idx="8">
                  <c:v>2.493295315798024</c:v>
                </c:pt>
                <c:pt idx="9">
                  <c:v>2.6080585506064962</c:v>
                </c:pt>
                <c:pt idx="10">
                  <c:v>2.6496107422180208</c:v>
                </c:pt>
                <c:pt idx="11">
                  <c:v>2.7528194694642529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0F-4974-9AD8-964F4F5D1D69}"/>
            </c:ext>
          </c:extLst>
        </c:ser>
        <c:ser>
          <c:idx val="2"/>
          <c:order val="2"/>
          <c:tx>
            <c:v>TF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Hypotheticals!$BY$36:$BY$47</c:f>
              <c:numCache>
                <c:formatCode>General</c:formatCode>
                <c:ptCount val="12"/>
                <c:pt idx="0">
                  <c:v>40.799999999999997</c:v>
                </c:pt>
                <c:pt idx="1">
                  <c:v>45.661342051603363</c:v>
                </c:pt>
                <c:pt idx="2">
                  <c:v>45.544698353015811</c:v>
                </c:pt>
                <c:pt idx="3">
                  <c:v>45.331253691049362</c:v>
                </c:pt>
                <c:pt idx="4">
                  <c:v>45.022383486464904</c:v>
                </c:pt>
                <c:pt idx="5">
                  <c:v>44.620123454018042</c:v>
                </c:pt>
                <c:pt idx="6">
                  <c:v>44.142521897566127</c:v>
                </c:pt>
                <c:pt idx="7">
                  <c:v>43.518086614780913</c:v>
                </c:pt>
                <c:pt idx="8">
                  <c:v>42.764949502409692</c:v>
                </c:pt>
                <c:pt idx="9">
                  <c:v>41.860145214128991</c:v>
                </c:pt>
                <c:pt idx="10">
                  <c:v>40.797153935660262</c:v>
                </c:pt>
                <c:pt idx="11">
                  <c:v>39.564280145085498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0F-4974-9AD8-964F4F5D1D69}"/>
            </c:ext>
          </c:extLst>
        </c:ser>
        <c:ser>
          <c:idx val="3"/>
          <c:order val="3"/>
          <c:tx>
            <c:v>Rubble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Hypotheticals!$CA$36:$CA$47</c:f>
              <c:numCache>
                <c:formatCode>General</c:formatCode>
                <c:ptCount val="12"/>
                <c:pt idx="0">
                  <c:v>1</c:v>
                </c:pt>
                <c:pt idx="1">
                  <c:v>0.93487766866807454</c:v>
                </c:pt>
                <c:pt idx="2">
                  <c:v>0.77931953322354031</c:v>
                </c:pt>
                <c:pt idx="3">
                  <c:v>0.64961024999117423</c:v>
                </c:pt>
                <c:pt idx="4">
                  <c:v>0.54146541896503508</c:v>
                </c:pt>
                <c:pt idx="5">
                  <c:v>0.45130748190063691</c:v>
                </c:pt>
                <c:pt idx="6">
                  <c:v>0.37614982428133792</c:v>
                </c:pt>
                <c:pt idx="7">
                  <c:v>0.31350034097099921</c:v>
                </c:pt>
                <c:pt idx="8">
                  <c:v>0.2612798427867869</c:v>
                </c:pt>
                <c:pt idx="9">
                  <c:v>0.2177539573835918</c:v>
                </c:pt>
                <c:pt idx="10">
                  <c:v>0.18147624949754301</c:v>
                </c:pt>
                <c:pt idx="11">
                  <c:v>0.15124052004664071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0F-4974-9AD8-964F4F5D1D69}"/>
            </c:ext>
          </c:extLst>
        </c:ser>
        <c:ser>
          <c:idx val="4"/>
          <c:order val="4"/>
          <c:tx>
            <c:v>Coral cover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Hypotheticals!$A$36:$A$47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Hypotheticals!$CC$36:$CC$47</c:f>
              <c:numCache>
                <c:formatCode>General</c:formatCode>
                <c:ptCount val="12"/>
                <c:pt idx="0">
                  <c:v>20.6</c:v>
                </c:pt>
                <c:pt idx="1">
                  <c:v>20.56753586415433</c:v>
                </c:pt>
                <c:pt idx="2">
                  <c:v>20.575861084686348</c:v>
                </c:pt>
                <c:pt idx="3">
                  <c:v>20.687181456870888</c:v>
                </c:pt>
                <c:pt idx="4">
                  <c:v>20.914014263937119</c:v>
                </c:pt>
                <c:pt idx="5">
                  <c:v>21.34382340885637</c:v>
                </c:pt>
                <c:pt idx="6">
                  <c:v>21.74170611843353</c:v>
                </c:pt>
                <c:pt idx="7">
                  <c:v>22.293585772898819</c:v>
                </c:pt>
                <c:pt idx="8">
                  <c:v>23.023721358024218</c:v>
                </c:pt>
                <c:pt idx="9">
                  <c:v>23.85428973329406</c:v>
                </c:pt>
                <c:pt idx="10">
                  <c:v>24.909472165818539</c:v>
                </c:pt>
                <c:pt idx="11">
                  <c:v>26.06722759848271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0F-4974-9AD8-964F4F5D1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211087"/>
        <c:axId val="716216079"/>
      </c:scatterChart>
      <c:valAx>
        <c:axId val="7162110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6079"/>
        <c:crosses val="autoZero"/>
        <c:crossBetween val="midCat"/>
      </c:valAx>
      <c:valAx>
        <c:axId val="7162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21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Bay'!$B$3:$B$20</c:f>
              <c:numCache>
                <c:formatCode>General</c:formatCode>
                <c:ptCount val="18"/>
                <c:pt idx="0">
                  <c:v>17.2</c:v>
                </c:pt>
                <c:pt idx="1">
                  <c:v>14</c:v>
                </c:pt>
                <c:pt idx="2">
                  <c:v>18.2</c:v>
                </c:pt>
                <c:pt idx="3">
                  <c:v>17.600000000000001</c:v>
                </c:pt>
                <c:pt idx="4">
                  <c:v>17.399999999999999</c:v>
                </c:pt>
                <c:pt idx="5">
                  <c:v>14.3</c:v>
                </c:pt>
                <c:pt idx="6">
                  <c:v>12.2</c:v>
                </c:pt>
                <c:pt idx="7">
                  <c:v>10.199999999999999</c:v>
                </c:pt>
                <c:pt idx="8">
                  <c:v>12.4</c:v>
                </c:pt>
                <c:pt idx="9">
                  <c:v>15.3</c:v>
                </c:pt>
                <c:pt idx="10">
                  <c:v>15.3</c:v>
                </c:pt>
                <c:pt idx="11">
                  <c:v>18.7</c:v>
                </c:pt>
                <c:pt idx="12">
                  <c:v>16.2</c:v>
                </c:pt>
                <c:pt idx="14">
                  <c:v>22.8</c:v>
                </c:pt>
                <c:pt idx="15">
                  <c:v>17.5</c:v>
                </c:pt>
                <c:pt idx="16">
                  <c:v>26.9</c:v>
                </c:pt>
                <c:pt idx="17">
                  <c:v>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1B-477F-9F8B-99ECAE726984}"/>
            </c:ext>
          </c:extLst>
        </c:ser>
        <c:ser>
          <c:idx val="1"/>
          <c:order val="1"/>
          <c:tx>
            <c:v>Model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Bay'!$V$3:$V$20</c:f>
              <c:numCache>
                <c:formatCode>General</c:formatCode>
                <c:ptCount val="18"/>
                <c:pt idx="0">
                  <c:v>17.3</c:v>
                </c:pt>
                <c:pt idx="1">
                  <c:v>13.284096908502891</c:v>
                </c:pt>
                <c:pt idx="2">
                  <c:v>14.14151608348388</c:v>
                </c:pt>
                <c:pt idx="3">
                  <c:v>15.16139486856364</c:v>
                </c:pt>
                <c:pt idx="4">
                  <c:v>16.251949670872119</c:v>
                </c:pt>
                <c:pt idx="5">
                  <c:v>17.456779905954939</c:v>
                </c:pt>
                <c:pt idx="6">
                  <c:v>12.25931920237894</c:v>
                </c:pt>
                <c:pt idx="7">
                  <c:v>13.704569632754749</c:v>
                </c:pt>
                <c:pt idx="8">
                  <c:v>15.22952815923837</c:v>
                </c:pt>
                <c:pt idx="9">
                  <c:v>16.854389332106141</c:v>
                </c:pt>
                <c:pt idx="10">
                  <c:v>18.55079046018237</c:v>
                </c:pt>
                <c:pt idx="11">
                  <c:v>20.296416418149541</c:v>
                </c:pt>
                <c:pt idx="12">
                  <c:v>15.90289909210421</c:v>
                </c:pt>
                <c:pt idx="13">
                  <c:v>16.27869247833581</c:v>
                </c:pt>
                <c:pt idx="14">
                  <c:v>17.964922700196041</c:v>
                </c:pt>
                <c:pt idx="15">
                  <c:v>17.12357473513357</c:v>
                </c:pt>
                <c:pt idx="16">
                  <c:v>18.80612340310288</c:v>
                </c:pt>
                <c:pt idx="17">
                  <c:v>19.788185266615049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1B-477F-9F8B-99ECAE726984}"/>
            </c:ext>
          </c:extLst>
        </c:ser>
        <c:ser>
          <c:idx val="2"/>
          <c:order val="2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Bay'!$AA$3:$AA$20</c:f>
              <c:numCache>
                <c:formatCode>General</c:formatCode>
                <c:ptCount val="18"/>
                <c:pt idx="0">
                  <c:v>17.3</c:v>
                </c:pt>
                <c:pt idx="1">
                  <c:v>10.62258869976683</c:v>
                </c:pt>
                <c:pt idx="2">
                  <c:v>11.472742941736399</c:v>
                </c:pt>
                <c:pt idx="3">
                  <c:v>12.457308261894401</c:v>
                </c:pt>
                <c:pt idx="4">
                  <c:v>13.639843006613759</c:v>
                </c:pt>
                <c:pt idx="5">
                  <c:v>14.962944387627189</c:v>
                </c:pt>
                <c:pt idx="6">
                  <c:v>8.7115873410192854</c:v>
                </c:pt>
                <c:pt idx="7">
                  <c:v>10.54595347397332</c:v>
                </c:pt>
                <c:pt idx="8">
                  <c:v>12.631872821186519</c:v>
                </c:pt>
                <c:pt idx="9">
                  <c:v>14.845488092291101</c:v>
                </c:pt>
                <c:pt idx="10">
                  <c:v>17.207406171599199</c:v>
                </c:pt>
                <c:pt idx="11">
                  <c:v>19.58598450944837</c:v>
                </c:pt>
                <c:pt idx="12">
                  <c:v>15.16122797145392</c:v>
                </c:pt>
                <c:pt idx="13">
                  <c:v>16.585861700040549</c:v>
                </c:pt>
                <c:pt idx="14">
                  <c:v>19.038385274973589</c:v>
                </c:pt>
                <c:pt idx="15">
                  <c:v>18.97502327814151</c:v>
                </c:pt>
                <c:pt idx="16">
                  <c:v>21.35691010575399</c:v>
                </c:pt>
                <c:pt idx="17">
                  <c:v>23.048913004115199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1B-477F-9F8B-99ECAE726984}"/>
            </c:ext>
          </c:extLst>
        </c:ser>
        <c:ser>
          <c:idx val="3"/>
          <c:order val="3"/>
          <c:tx>
            <c:v>Model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Bay'!$AF$3:$AF$20</c:f>
              <c:numCache>
                <c:formatCode>General</c:formatCode>
                <c:ptCount val="18"/>
                <c:pt idx="0">
                  <c:v>17.3</c:v>
                </c:pt>
                <c:pt idx="1">
                  <c:v>11.30205628587604</c:v>
                </c:pt>
                <c:pt idx="2">
                  <c:v>12.05965135428923</c:v>
                </c:pt>
                <c:pt idx="3">
                  <c:v>12.97343266497103</c:v>
                </c:pt>
                <c:pt idx="4">
                  <c:v>14.05418962519113</c:v>
                </c:pt>
                <c:pt idx="5">
                  <c:v>15.27134079396224</c:v>
                </c:pt>
                <c:pt idx="6">
                  <c:v>9.1570749967753606</c:v>
                </c:pt>
                <c:pt idx="7">
                  <c:v>10.68619613352498</c:v>
                </c:pt>
                <c:pt idx="8">
                  <c:v>12.350150499975859</c:v>
                </c:pt>
                <c:pt idx="9">
                  <c:v>14.13984711238667</c:v>
                </c:pt>
                <c:pt idx="10">
                  <c:v>16.018107185197579</c:v>
                </c:pt>
                <c:pt idx="11">
                  <c:v>17.93772828878841</c:v>
                </c:pt>
                <c:pt idx="12">
                  <c:v>14.07150765469404</c:v>
                </c:pt>
                <c:pt idx="13">
                  <c:v>14.87222108227774</c:v>
                </c:pt>
                <c:pt idx="14">
                  <c:v>16.722481710563539</c:v>
                </c:pt>
                <c:pt idx="15">
                  <c:v>16.28117630002755</c:v>
                </c:pt>
                <c:pt idx="16">
                  <c:v>18.016454637191959</c:v>
                </c:pt>
                <c:pt idx="17">
                  <c:v>19.072491190219122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1B-477F-9F8B-99ECAE726984}"/>
            </c:ext>
          </c:extLst>
        </c:ser>
        <c:ser>
          <c:idx val="4"/>
          <c:order val="4"/>
          <c:tx>
            <c:v>Model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Bay'!$AK$3:$AK$20</c:f>
              <c:numCache>
                <c:formatCode>General</c:formatCode>
                <c:ptCount val="18"/>
                <c:pt idx="0">
                  <c:v>17.3</c:v>
                </c:pt>
                <c:pt idx="1">
                  <c:v>13.256421440720169</c:v>
                </c:pt>
                <c:pt idx="2">
                  <c:v>14.12077175449315</c:v>
                </c:pt>
                <c:pt idx="3">
                  <c:v>15.13075452271409</c:v>
                </c:pt>
                <c:pt idx="4">
                  <c:v>16.21687182539938</c:v>
                </c:pt>
                <c:pt idx="5">
                  <c:v>17.418324848379591</c:v>
                </c:pt>
                <c:pt idx="6">
                  <c:v>12.293493839963769</c:v>
                </c:pt>
                <c:pt idx="7">
                  <c:v>13.88048900387874</c:v>
                </c:pt>
                <c:pt idx="8">
                  <c:v>15.57468119962042</c:v>
                </c:pt>
                <c:pt idx="9">
                  <c:v>17.31502535493874</c:v>
                </c:pt>
                <c:pt idx="10">
                  <c:v>19.14457110666493</c:v>
                </c:pt>
                <c:pt idx="11">
                  <c:v>20.99372236004492</c:v>
                </c:pt>
                <c:pt idx="12">
                  <c:v>15.94869762250732</c:v>
                </c:pt>
                <c:pt idx="13">
                  <c:v>16.360805856319011</c:v>
                </c:pt>
                <c:pt idx="14">
                  <c:v>18.218419774909609</c:v>
                </c:pt>
                <c:pt idx="15">
                  <c:v>17.05118065942241</c:v>
                </c:pt>
                <c:pt idx="16">
                  <c:v>18.9437447962842</c:v>
                </c:pt>
                <c:pt idx="17">
                  <c:v>20.064684690039119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1B-477F-9F8B-99ECAE726984}"/>
            </c:ext>
          </c:extLst>
        </c:ser>
        <c:ser>
          <c:idx val="5"/>
          <c:order val="5"/>
          <c:tx>
            <c:v>Model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Bay'!$AP$3:$AP$20</c:f>
              <c:numCache>
                <c:formatCode>General</c:formatCode>
                <c:ptCount val="18"/>
                <c:pt idx="0">
                  <c:v>17.3</c:v>
                </c:pt>
                <c:pt idx="1">
                  <c:v>13.182466386159261</c:v>
                </c:pt>
                <c:pt idx="2">
                  <c:v>14.032708985422209</c:v>
                </c:pt>
                <c:pt idx="3">
                  <c:v>15.047521952348051</c:v>
                </c:pt>
                <c:pt idx="4">
                  <c:v>16.216322046685001</c:v>
                </c:pt>
                <c:pt idx="5">
                  <c:v>17.49515642371394</c:v>
                </c:pt>
                <c:pt idx="6">
                  <c:v>12.70558243882137</c:v>
                </c:pt>
                <c:pt idx="7">
                  <c:v>14.446957429229149</c:v>
                </c:pt>
                <c:pt idx="8">
                  <c:v>16.305494190661751</c:v>
                </c:pt>
                <c:pt idx="9">
                  <c:v>18.365475763528739</c:v>
                </c:pt>
                <c:pt idx="10">
                  <c:v>20.431436179914598</c:v>
                </c:pt>
                <c:pt idx="11">
                  <c:v>22.55356238246042</c:v>
                </c:pt>
                <c:pt idx="12">
                  <c:v>14.67429092762454</c:v>
                </c:pt>
                <c:pt idx="13">
                  <c:v>12.32774701736494</c:v>
                </c:pt>
                <c:pt idx="14">
                  <c:v>13.578984466427499</c:v>
                </c:pt>
                <c:pt idx="15">
                  <c:v>9.9242126528738162</c:v>
                </c:pt>
                <c:pt idx="16">
                  <c:v>11.349278350450319</c:v>
                </c:pt>
                <c:pt idx="17">
                  <c:v>11.2246258444421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01B-477F-9F8B-99ECAE726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98831"/>
        <c:axId val="1239798415"/>
      </c:scatterChart>
      <c:valAx>
        <c:axId val="123979883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98415"/>
        <c:crosses val="autoZero"/>
        <c:crossBetween val="midCat"/>
      </c:valAx>
      <c:valAx>
        <c:axId val="123979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98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Branching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Bay'!$C$3:$C$20</c:f>
              <c:numCache>
                <c:formatCode>General</c:formatCode>
                <c:ptCount val="18"/>
                <c:pt idx="0">
                  <c:v>2.8</c:v>
                </c:pt>
                <c:pt idx="1">
                  <c:v>2.4</c:v>
                </c:pt>
                <c:pt idx="2">
                  <c:v>2.5</c:v>
                </c:pt>
                <c:pt idx="3">
                  <c:v>3.5</c:v>
                </c:pt>
                <c:pt idx="4">
                  <c:v>1.9</c:v>
                </c:pt>
                <c:pt idx="5">
                  <c:v>2</c:v>
                </c:pt>
                <c:pt idx="6">
                  <c:v>0.7</c:v>
                </c:pt>
                <c:pt idx="7">
                  <c:v>1.4</c:v>
                </c:pt>
                <c:pt idx="8">
                  <c:v>0.7</c:v>
                </c:pt>
                <c:pt idx="9">
                  <c:v>2.2999999999999998</c:v>
                </c:pt>
                <c:pt idx="10">
                  <c:v>1.5</c:v>
                </c:pt>
                <c:pt idx="11">
                  <c:v>1.8</c:v>
                </c:pt>
                <c:pt idx="12">
                  <c:v>2.9</c:v>
                </c:pt>
                <c:pt idx="14">
                  <c:v>3.1</c:v>
                </c:pt>
                <c:pt idx="15">
                  <c:v>4.7</c:v>
                </c:pt>
                <c:pt idx="16">
                  <c:v>3.1</c:v>
                </c:pt>
                <c:pt idx="17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DB-4E8D-ADB6-FBA1CF83043E}"/>
            </c:ext>
          </c:extLst>
        </c:ser>
        <c:ser>
          <c:idx val="1"/>
          <c:order val="1"/>
          <c:tx>
            <c:v>Model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Bay'!$W$3:$W$20</c:f>
              <c:numCache>
                <c:formatCode>General</c:formatCode>
                <c:ptCount val="18"/>
                <c:pt idx="0">
                  <c:v>2.8</c:v>
                </c:pt>
                <c:pt idx="1">
                  <c:v>1.698649330318958</c:v>
                </c:pt>
                <c:pt idx="2">
                  <c:v>1.829378854616464</c:v>
                </c:pt>
                <c:pt idx="3">
                  <c:v>2.010530941004085</c:v>
                </c:pt>
                <c:pt idx="4">
                  <c:v>2.2309431180845358</c:v>
                </c:pt>
                <c:pt idx="5">
                  <c:v>2.4941496775931058</c:v>
                </c:pt>
                <c:pt idx="6">
                  <c:v>1.806327418520749</c:v>
                </c:pt>
                <c:pt idx="7">
                  <c:v>2.1816495658543049</c:v>
                </c:pt>
                <c:pt idx="8">
                  <c:v>2.5821928117099602</c:v>
                </c:pt>
                <c:pt idx="9">
                  <c:v>2.9960583739122462</c:v>
                </c:pt>
                <c:pt idx="10">
                  <c:v>3.4275364899287188</c:v>
                </c:pt>
                <c:pt idx="11">
                  <c:v>3.8649836319870121</c:v>
                </c:pt>
                <c:pt idx="12">
                  <c:v>3.0636320683955529</c:v>
                </c:pt>
                <c:pt idx="13">
                  <c:v>3.248593335875654</c:v>
                </c:pt>
                <c:pt idx="14">
                  <c:v>3.636373861576101</c:v>
                </c:pt>
                <c:pt idx="15">
                  <c:v>3.6038485601344039</c:v>
                </c:pt>
                <c:pt idx="16">
                  <c:v>3.9448978951127041</c:v>
                </c:pt>
                <c:pt idx="17">
                  <c:v>4.1434367333425364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DB-4E8D-ADB6-FBA1CF83043E}"/>
            </c:ext>
          </c:extLst>
        </c:ser>
        <c:ser>
          <c:idx val="2"/>
          <c:order val="2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Bay'!$AB$3:$AB$20</c:f>
              <c:numCache>
                <c:formatCode>General</c:formatCode>
                <c:ptCount val="18"/>
                <c:pt idx="0">
                  <c:v>2.8</c:v>
                </c:pt>
                <c:pt idx="1">
                  <c:v>1.237826775422548</c:v>
                </c:pt>
                <c:pt idx="2">
                  <c:v>1.3393394880416689</c:v>
                </c:pt>
                <c:pt idx="3">
                  <c:v>1.481673270203371</c:v>
                </c:pt>
                <c:pt idx="4">
                  <c:v>1.6738012959244719</c:v>
                </c:pt>
                <c:pt idx="5">
                  <c:v>1.9062693348130739</c:v>
                </c:pt>
                <c:pt idx="6">
                  <c:v>1.2382292919812901</c:v>
                </c:pt>
                <c:pt idx="7">
                  <c:v>1.589105921479099</c:v>
                </c:pt>
                <c:pt idx="8">
                  <c:v>1.955484347226967</c:v>
                </c:pt>
                <c:pt idx="9">
                  <c:v>2.356420292164322</c:v>
                </c:pt>
                <c:pt idx="10">
                  <c:v>2.7699324251930779</c:v>
                </c:pt>
                <c:pt idx="11">
                  <c:v>3.158135102406352</c:v>
                </c:pt>
                <c:pt idx="12">
                  <c:v>2.4982337480427739</c:v>
                </c:pt>
                <c:pt idx="13">
                  <c:v>2.7134917496759301</c:v>
                </c:pt>
                <c:pt idx="14">
                  <c:v>3.0455679106374132</c:v>
                </c:pt>
                <c:pt idx="15">
                  <c:v>3.021102757847582</c:v>
                </c:pt>
                <c:pt idx="16">
                  <c:v>3.266814573266474</c:v>
                </c:pt>
                <c:pt idx="17">
                  <c:v>3.3794504873747102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3DB-4E8D-ADB6-FBA1CF83043E}"/>
            </c:ext>
          </c:extLst>
        </c:ser>
        <c:ser>
          <c:idx val="3"/>
          <c:order val="3"/>
          <c:tx>
            <c:v>Model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Bay'!$AG$3:$AG$20</c:f>
              <c:numCache>
                <c:formatCode>General</c:formatCode>
                <c:ptCount val="18"/>
                <c:pt idx="0">
                  <c:v>2.8</c:v>
                </c:pt>
                <c:pt idx="1">
                  <c:v>2.1342311517391832</c:v>
                </c:pt>
                <c:pt idx="2">
                  <c:v>2.328911721491326</c:v>
                </c:pt>
                <c:pt idx="3">
                  <c:v>2.601248534649391</c:v>
                </c:pt>
                <c:pt idx="4">
                  <c:v>2.9587912310590379</c:v>
                </c:pt>
                <c:pt idx="5">
                  <c:v>3.3914179918894791</c:v>
                </c:pt>
                <c:pt idx="6">
                  <c:v>3.0282596986115409</c:v>
                </c:pt>
                <c:pt idx="7">
                  <c:v>3.746408144268083</c:v>
                </c:pt>
                <c:pt idx="8">
                  <c:v>4.5401609806286736</c:v>
                </c:pt>
                <c:pt idx="9">
                  <c:v>5.4293495113190957</c:v>
                </c:pt>
                <c:pt idx="10">
                  <c:v>6.3448586979603716</c:v>
                </c:pt>
                <c:pt idx="11">
                  <c:v>7.2976742973630291</c:v>
                </c:pt>
                <c:pt idx="12">
                  <c:v>5.8886307223198351</c:v>
                </c:pt>
                <c:pt idx="13">
                  <c:v>6.4017018900362608</c:v>
                </c:pt>
                <c:pt idx="14">
                  <c:v>7.2942479978752077</c:v>
                </c:pt>
                <c:pt idx="15">
                  <c:v>7.3065296616553344</c:v>
                </c:pt>
                <c:pt idx="16">
                  <c:v>8.0962475149514699</c:v>
                </c:pt>
                <c:pt idx="17">
                  <c:v>8.5614682995629039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3DB-4E8D-ADB6-FBA1CF83043E}"/>
            </c:ext>
          </c:extLst>
        </c:ser>
        <c:ser>
          <c:idx val="4"/>
          <c:order val="4"/>
          <c:tx>
            <c:v>Model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Bay'!$AL$3:$AL$20</c:f>
              <c:numCache>
                <c:formatCode>General</c:formatCode>
                <c:ptCount val="18"/>
                <c:pt idx="0">
                  <c:v>2.8</c:v>
                </c:pt>
                <c:pt idx="1">
                  <c:v>1.688066090067178</c:v>
                </c:pt>
                <c:pt idx="2">
                  <c:v>1.8191097736300419</c:v>
                </c:pt>
                <c:pt idx="3">
                  <c:v>1.9984554442418501</c:v>
                </c:pt>
                <c:pt idx="4">
                  <c:v>2.2243163210808712</c:v>
                </c:pt>
                <c:pt idx="5">
                  <c:v>2.4835173499561138</c:v>
                </c:pt>
                <c:pt idx="6">
                  <c:v>1.800986711009646</c:v>
                </c:pt>
                <c:pt idx="7">
                  <c:v>2.1768390021034949</c:v>
                </c:pt>
                <c:pt idx="8">
                  <c:v>2.5676727631641501</c:v>
                </c:pt>
                <c:pt idx="9">
                  <c:v>2.94412392035759</c:v>
                </c:pt>
                <c:pt idx="10">
                  <c:v>3.3276043911134359</c:v>
                </c:pt>
                <c:pt idx="11">
                  <c:v>3.7005801614338418</c:v>
                </c:pt>
                <c:pt idx="12">
                  <c:v>2.5043205838091032</c:v>
                </c:pt>
                <c:pt idx="13">
                  <c:v>2.6280698819294139</c:v>
                </c:pt>
                <c:pt idx="14">
                  <c:v>2.9451449379700061</c:v>
                </c:pt>
                <c:pt idx="15">
                  <c:v>2.7708159981269009</c:v>
                </c:pt>
                <c:pt idx="16">
                  <c:v>3.0441934638514669</c:v>
                </c:pt>
                <c:pt idx="17">
                  <c:v>3.1759930931466021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3DB-4E8D-ADB6-FBA1CF83043E}"/>
            </c:ext>
          </c:extLst>
        </c:ser>
        <c:ser>
          <c:idx val="5"/>
          <c:order val="5"/>
          <c:tx>
            <c:v>Model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Bay'!$AQ$3:$AQ$20</c:f>
              <c:numCache>
                <c:formatCode>General</c:formatCode>
                <c:ptCount val="18"/>
                <c:pt idx="0">
                  <c:v>2.8</c:v>
                </c:pt>
                <c:pt idx="1">
                  <c:v>1.6872806919037799</c:v>
                </c:pt>
                <c:pt idx="2">
                  <c:v>1.811000537592963</c:v>
                </c:pt>
                <c:pt idx="3">
                  <c:v>1.978123449286898</c:v>
                </c:pt>
                <c:pt idx="4">
                  <c:v>2.1879229336844421</c:v>
                </c:pt>
                <c:pt idx="5">
                  <c:v>2.437257398132004</c:v>
                </c:pt>
                <c:pt idx="6">
                  <c:v>1.7940163023094939</c:v>
                </c:pt>
                <c:pt idx="7">
                  <c:v>2.1399743758090271</c:v>
                </c:pt>
                <c:pt idx="8">
                  <c:v>2.4764487664855359</c:v>
                </c:pt>
                <c:pt idx="9">
                  <c:v>2.8117450599169498</c:v>
                </c:pt>
                <c:pt idx="10">
                  <c:v>3.120455625517359</c:v>
                </c:pt>
                <c:pt idx="11">
                  <c:v>3.4212925745297098</c:v>
                </c:pt>
                <c:pt idx="12">
                  <c:v>1.538771716682366</c:v>
                </c:pt>
                <c:pt idx="13">
                  <c:v>1.277243945748058</c:v>
                </c:pt>
                <c:pt idx="14">
                  <c:v>1.4905973568349751</c:v>
                </c:pt>
                <c:pt idx="15">
                  <c:v>1.0191817442097411</c:v>
                </c:pt>
                <c:pt idx="16">
                  <c:v>1.2054585536135309</c:v>
                </c:pt>
                <c:pt idx="17">
                  <c:v>1.170498517865302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3DB-4E8D-ADB6-FBA1CF830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98831"/>
        <c:axId val="1239798415"/>
      </c:scatterChart>
      <c:valAx>
        <c:axId val="123979883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98415"/>
        <c:crosses val="autoZero"/>
        <c:crossBetween val="midCat"/>
      </c:valAx>
      <c:valAx>
        <c:axId val="1239798415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98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Foliose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Bay'!$D$3:$D$20</c:f>
              <c:numCache>
                <c:formatCode>General</c:formatCode>
                <c:ptCount val="18"/>
                <c:pt idx="0">
                  <c:v>7</c:v>
                </c:pt>
                <c:pt idx="1">
                  <c:v>6.5</c:v>
                </c:pt>
                <c:pt idx="2">
                  <c:v>8.7000000000000011</c:v>
                </c:pt>
                <c:pt idx="3">
                  <c:v>6.1000000000000005</c:v>
                </c:pt>
                <c:pt idx="4">
                  <c:v>7.6000000000000005</c:v>
                </c:pt>
                <c:pt idx="5">
                  <c:v>5.6000000000000005</c:v>
                </c:pt>
                <c:pt idx="6">
                  <c:v>3.9</c:v>
                </c:pt>
                <c:pt idx="7">
                  <c:v>4.9000000000000004</c:v>
                </c:pt>
                <c:pt idx="8">
                  <c:v>6.9</c:v>
                </c:pt>
                <c:pt idx="9">
                  <c:v>7.2</c:v>
                </c:pt>
                <c:pt idx="10">
                  <c:v>8.4</c:v>
                </c:pt>
                <c:pt idx="11">
                  <c:v>9.6</c:v>
                </c:pt>
                <c:pt idx="12">
                  <c:v>9.1999999999999993</c:v>
                </c:pt>
                <c:pt idx="14">
                  <c:v>12.1</c:v>
                </c:pt>
                <c:pt idx="15">
                  <c:v>9.5</c:v>
                </c:pt>
                <c:pt idx="16">
                  <c:v>17.400000000000002</c:v>
                </c:pt>
                <c:pt idx="17">
                  <c:v>16.399999999999999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F5-45B5-9DF1-23425FF1B06D}"/>
            </c:ext>
          </c:extLst>
        </c:ser>
        <c:ser>
          <c:idx val="1"/>
          <c:order val="1"/>
          <c:tx>
            <c:v>Model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Bay'!$X$3:$X$20</c:f>
              <c:numCache>
                <c:formatCode>General</c:formatCode>
                <c:ptCount val="18"/>
                <c:pt idx="0">
                  <c:v>7</c:v>
                </c:pt>
                <c:pt idx="1">
                  <c:v>5.5783591778696744</c:v>
                </c:pt>
                <c:pt idx="2">
                  <c:v>6.0736214422310626</c:v>
                </c:pt>
                <c:pt idx="3">
                  <c:v>6.6031761539017912</c:v>
                </c:pt>
                <c:pt idx="4">
                  <c:v>7.1650303650422424</c:v>
                </c:pt>
                <c:pt idx="5">
                  <c:v>7.7687070283836048</c:v>
                </c:pt>
                <c:pt idx="6">
                  <c:v>5.3043435761373461</c:v>
                </c:pt>
                <c:pt idx="7">
                  <c:v>5.986658230588878</c:v>
                </c:pt>
                <c:pt idx="8">
                  <c:v>6.7441158543234634</c:v>
                </c:pt>
                <c:pt idx="9">
                  <c:v>7.5715328194626768</c:v>
                </c:pt>
                <c:pt idx="10">
                  <c:v>8.4515125566872626</c:v>
                </c:pt>
                <c:pt idx="11">
                  <c:v>9.3660105431931679</c:v>
                </c:pt>
                <c:pt idx="12">
                  <c:v>7.6439465301279208</c:v>
                </c:pt>
                <c:pt idx="13">
                  <c:v>8.0431644165828438</c:v>
                </c:pt>
                <c:pt idx="14">
                  <c:v>9.0958041225533179</c:v>
                </c:pt>
                <c:pt idx="15">
                  <c:v>8.8648283401751691</c:v>
                </c:pt>
                <c:pt idx="16">
                  <c:v>9.979288699082062</c:v>
                </c:pt>
                <c:pt idx="17">
                  <c:v>10.74007444753404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F5-45B5-9DF1-23425FF1B06D}"/>
            </c:ext>
          </c:extLst>
        </c:ser>
        <c:ser>
          <c:idx val="2"/>
          <c:order val="2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Bay'!$AC$3:$AC$20</c:f>
              <c:numCache>
                <c:formatCode>General</c:formatCode>
                <c:ptCount val="18"/>
                <c:pt idx="0">
                  <c:v>7</c:v>
                </c:pt>
                <c:pt idx="1">
                  <c:v>4.4613757273628654</c:v>
                </c:pt>
                <c:pt idx="2">
                  <c:v>4.9516114434785097</c:v>
                </c:pt>
                <c:pt idx="3">
                  <c:v>5.549741232290879</c:v>
                </c:pt>
                <c:pt idx="4">
                  <c:v>6.2352269318271283</c:v>
                </c:pt>
                <c:pt idx="5">
                  <c:v>7.0172773355530982</c:v>
                </c:pt>
                <c:pt idx="6">
                  <c:v>4.0673709212174938</c:v>
                </c:pt>
                <c:pt idx="7">
                  <c:v>5.1653575536471257</c:v>
                </c:pt>
                <c:pt idx="8">
                  <c:v>6.4602925930257111</c:v>
                </c:pt>
                <c:pt idx="9">
                  <c:v>7.8803415598335098</c:v>
                </c:pt>
                <c:pt idx="10">
                  <c:v>9.4527970402485799</c:v>
                </c:pt>
                <c:pt idx="11">
                  <c:v>11.09523149702237</c:v>
                </c:pt>
                <c:pt idx="12">
                  <c:v>8.8492283691546874</c:v>
                </c:pt>
                <c:pt idx="13">
                  <c:v>10.119452818817379</c:v>
                </c:pt>
                <c:pt idx="14">
                  <c:v>11.969418922791901</c:v>
                </c:pt>
                <c:pt idx="15">
                  <c:v>12.31475849523776</c:v>
                </c:pt>
                <c:pt idx="16">
                  <c:v>14.2367161583647</c:v>
                </c:pt>
                <c:pt idx="17">
                  <c:v>15.76303931415722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F5-45B5-9DF1-23425FF1B06D}"/>
            </c:ext>
          </c:extLst>
        </c:ser>
        <c:ser>
          <c:idx val="3"/>
          <c:order val="3"/>
          <c:tx>
            <c:v>Model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Bay'!$AH$3:$AH$20</c:f>
              <c:numCache>
                <c:formatCode>General</c:formatCode>
                <c:ptCount val="18"/>
                <c:pt idx="0">
                  <c:v>7</c:v>
                </c:pt>
                <c:pt idx="1">
                  <c:v>4.3479445976141893</c:v>
                </c:pt>
                <c:pt idx="2">
                  <c:v>4.7310127343342527</c:v>
                </c:pt>
                <c:pt idx="3">
                  <c:v>5.1556677038062091</c:v>
                </c:pt>
                <c:pt idx="4">
                  <c:v>5.6340046377463828</c:v>
                </c:pt>
                <c:pt idx="5">
                  <c:v>6.156677298010341</c:v>
                </c:pt>
                <c:pt idx="6">
                  <c:v>3.081607868860313</c:v>
                </c:pt>
                <c:pt idx="7">
                  <c:v>3.6101317454415831</c:v>
                </c:pt>
                <c:pt idx="8">
                  <c:v>4.2101464898461076</c:v>
                </c:pt>
                <c:pt idx="9">
                  <c:v>4.8663073854565049</c:v>
                </c:pt>
                <c:pt idx="10">
                  <c:v>5.5483471505508488</c:v>
                </c:pt>
                <c:pt idx="11">
                  <c:v>6.258278367922844</c:v>
                </c:pt>
                <c:pt idx="12">
                  <c:v>5.0134517313690168</c:v>
                </c:pt>
                <c:pt idx="13">
                  <c:v>5.3940753163055044</c:v>
                </c:pt>
                <c:pt idx="14">
                  <c:v>6.1610755277253677</c:v>
                </c:pt>
                <c:pt idx="15">
                  <c:v>6.0503245692092849</c:v>
                </c:pt>
                <c:pt idx="16">
                  <c:v>6.8300776833073149</c:v>
                </c:pt>
                <c:pt idx="17">
                  <c:v>7.3733375929293281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F5-45B5-9DF1-23425FF1B06D}"/>
            </c:ext>
          </c:extLst>
        </c:ser>
        <c:ser>
          <c:idx val="4"/>
          <c:order val="4"/>
          <c:tx>
            <c:v>Model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Bay'!$AM$3:$AM$20</c:f>
              <c:numCache>
                <c:formatCode>General</c:formatCode>
                <c:ptCount val="18"/>
                <c:pt idx="0">
                  <c:v>7</c:v>
                </c:pt>
                <c:pt idx="1">
                  <c:v>5.5648797818903644</c:v>
                </c:pt>
                <c:pt idx="2">
                  <c:v>6.0780000369920026</c:v>
                </c:pt>
                <c:pt idx="3">
                  <c:v>6.6457349168808886</c:v>
                </c:pt>
                <c:pt idx="4">
                  <c:v>7.2693705110495914</c:v>
                </c:pt>
                <c:pt idx="5">
                  <c:v>7.9767295494364614</c:v>
                </c:pt>
                <c:pt idx="6">
                  <c:v>5.6670208130402031</c:v>
                </c:pt>
                <c:pt idx="7">
                  <c:v>6.5831092308269872</c:v>
                </c:pt>
                <c:pt idx="8">
                  <c:v>7.6022418876515161</c:v>
                </c:pt>
                <c:pt idx="9">
                  <c:v>8.6939747872050965</c:v>
                </c:pt>
                <c:pt idx="10">
                  <c:v>9.8500907012031824</c:v>
                </c:pt>
                <c:pt idx="11">
                  <c:v>11.079611891047801</c:v>
                </c:pt>
                <c:pt idx="12">
                  <c:v>8.5783739950300344</c:v>
                </c:pt>
                <c:pt idx="13">
                  <c:v>8.9561112417160373</c:v>
                </c:pt>
                <c:pt idx="14">
                  <c:v>10.286850619868501</c:v>
                </c:pt>
                <c:pt idx="15">
                  <c:v>9.6795414900214265</c:v>
                </c:pt>
                <c:pt idx="16">
                  <c:v>11.09520204459124</c:v>
                </c:pt>
                <c:pt idx="17">
                  <c:v>12.00134535813401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F5-45B5-9DF1-23425FF1B06D}"/>
            </c:ext>
          </c:extLst>
        </c:ser>
        <c:ser>
          <c:idx val="5"/>
          <c:order val="5"/>
          <c:tx>
            <c:v>Model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Bay'!$AR$3:$AR$20</c:f>
              <c:numCache>
                <c:formatCode>General</c:formatCode>
                <c:ptCount val="18"/>
                <c:pt idx="0">
                  <c:v>7</c:v>
                </c:pt>
                <c:pt idx="1">
                  <c:v>5.5174908202063717</c:v>
                </c:pt>
                <c:pt idx="2">
                  <c:v>5.9947969190570856</c:v>
                </c:pt>
                <c:pt idx="3">
                  <c:v>6.5326670337827863</c:v>
                </c:pt>
                <c:pt idx="4">
                  <c:v>7.1853819949512756</c:v>
                </c:pt>
                <c:pt idx="5">
                  <c:v>7.9450387335433739</c:v>
                </c:pt>
                <c:pt idx="6">
                  <c:v>5.8335448586345464</c:v>
                </c:pt>
                <c:pt idx="7">
                  <c:v>6.8754736971516861</c:v>
                </c:pt>
                <c:pt idx="8">
                  <c:v>8.072940824452651</c:v>
                </c:pt>
                <c:pt idx="9">
                  <c:v>9.3964839919329872</c:v>
                </c:pt>
                <c:pt idx="10">
                  <c:v>10.822443079920349</c:v>
                </c:pt>
                <c:pt idx="11">
                  <c:v>12.31434616120197</c:v>
                </c:pt>
                <c:pt idx="12">
                  <c:v>8.6079344184049074</c:v>
                </c:pt>
                <c:pt idx="13">
                  <c:v>7.2159339835074379</c:v>
                </c:pt>
                <c:pt idx="14">
                  <c:v>8.1431652377374242</c:v>
                </c:pt>
                <c:pt idx="15">
                  <c:v>5.9104058864000297</c:v>
                </c:pt>
                <c:pt idx="16">
                  <c:v>7.017591494818455</c:v>
                </c:pt>
                <c:pt idx="17">
                  <c:v>7.0864709137484114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F5-45B5-9DF1-23425FF1B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98831"/>
        <c:axId val="1239798415"/>
      </c:scatterChart>
      <c:valAx>
        <c:axId val="123979883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98415"/>
        <c:crosses val="autoZero"/>
        <c:crossBetween val="midCat"/>
      </c:valAx>
      <c:valAx>
        <c:axId val="1239798415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98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Bay'!$E$3:$E$20</c:f>
              <c:numCache>
                <c:formatCode>General</c:formatCode>
                <c:ptCount val="18"/>
                <c:pt idx="0">
                  <c:v>7.5</c:v>
                </c:pt>
                <c:pt idx="1">
                  <c:v>5.1000000000000005</c:v>
                </c:pt>
                <c:pt idx="2">
                  <c:v>7</c:v>
                </c:pt>
                <c:pt idx="3">
                  <c:v>8.1000000000000014</c:v>
                </c:pt>
                <c:pt idx="4">
                  <c:v>8</c:v>
                </c:pt>
                <c:pt idx="5">
                  <c:v>6.7</c:v>
                </c:pt>
                <c:pt idx="6">
                  <c:v>7.7</c:v>
                </c:pt>
                <c:pt idx="7">
                  <c:v>3.9000000000000004</c:v>
                </c:pt>
                <c:pt idx="8">
                  <c:v>4.8</c:v>
                </c:pt>
                <c:pt idx="9">
                  <c:v>5.8</c:v>
                </c:pt>
                <c:pt idx="10">
                  <c:v>5.3000000000000007</c:v>
                </c:pt>
                <c:pt idx="11">
                  <c:v>7.2</c:v>
                </c:pt>
                <c:pt idx="12">
                  <c:v>4.0999999999999996</c:v>
                </c:pt>
                <c:pt idx="14">
                  <c:v>7.5</c:v>
                </c:pt>
                <c:pt idx="15">
                  <c:v>3.3000000000000003</c:v>
                </c:pt>
                <c:pt idx="16">
                  <c:v>6.3000000000000007</c:v>
                </c:pt>
                <c:pt idx="17">
                  <c:v>6.1999999999999993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73-4A90-A068-2C6AE5D4B5F9}"/>
            </c:ext>
          </c:extLst>
        </c:ser>
        <c:ser>
          <c:idx val="1"/>
          <c:order val="1"/>
          <c:tx>
            <c:v>Model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Bay'!$Y$3:$Y$20</c:f>
              <c:numCache>
                <c:formatCode>General</c:formatCode>
                <c:ptCount val="18"/>
                <c:pt idx="0">
                  <c:v>7.5</c:v>
                </c:pt>
                <c:pt idx="1">
                  <c:v>6.0070884003142542</c:v>
                </c:pt>
                <c:pt idx="2">
                  <c:v>6.2385157866363574</c:v>
                </c:pt>
                <c:pt idx="3">
                  <c:v>6.5476877736577608</c:v>
                </c:pt>
                <c:pt idx="4">
                  <c:v>6.8559761877453447</c:v>
                </c:pt>
                <c:pt idx="5">
                  <c:v>7.1939231999782249</c:v>
                </c:pt>
                <c:pt idx="6">
                  <c:v>5.1486482077208446</c:v>
                </c:pt>
                <c:pt idx="7">
                  <c:v>5.5362618363115708</c:v>
                </c:pt>
                <c:pt idx="8">
                  <c:v>5.9032194932049444</c:v>
                </c:pt>
                <c:pt idx="9">
                  <c:v>6.2867981387312168</c:v>
                </c:pt>
                <c:pt idx="10">
                  <c:v>6.6717414135663899</c:v>
                </c:pt>
                <c:pt idx="11">
                  <c:v>7.0654222429693592</c:v>
                </c:pt>
                <c:pt idx="12">
                  <c:v>5.1953204935807387</c:v>
                </c:pt>
                <c:pt idx="13">
                  <c:v>4.9869347258773091</c:v>
                </c:pt>
                <c:pt idx="14">
                  <c:v>5.2327447160666258</c:v>
                </c:pt>
                <c:pt idx="15">
                  <c:v>4.6548978348239984</c:v>
                </c:pt>
                <c:pt idx="16">
                  <c:v>4.8819368089081143</c:v>
                </c:pt>
                <c:pt idx="17">
                  <c:v>4.9046740857384714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73-4A90-A068-2C6AE5D4B5F9}"/>
            </c:ext>
          </c:extLst>
        </c:ser>
        <c:ser>
          <c:idx val="2"/>
          <c:order val="2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Bay'!$AD$3:$AD$20</c:f>
              <c:numCache>
                <c:formatCode>General</c:formatCode>
                <c:ptCount val="18"/>
                <c:pt idx="0">
                  <c:v>7.5</c:v>
                </c:pt>
                <c:pt idx="1">
                  <c:v>4.923386196981415</c:v>
                </c:pt>
                <c:pt idx="2">
                  <c:v>5.1817920102162178</c:v>
                </c:pt>
                <c:pt idx="3">
                  <c:v>5.4258937594001448</c:v>
                </c:pt>
                <c:pt idx="4">
                  <c:v>5.7308147788621584</c:v>
                </c:pt>
                <c:pt idx="5">
                  <c:v>6.0393977172610196</c:v>
                </c:pt>
                <c:pt idx="6">
                  <c:v>3.4059871278205018</c:v>
                </c:pt>
                <c:pt idx="7">
                  <c:v>3.7914899988470969</c:v>
                </c:pt>
                <c:pt idx="8">
                  <c:v>4.2160958809338434</c:v>
                </c:pt>
                <c:pt idx="9">
                  <c:v>4.6087262402932687</c:v>
                </c:pt>
                <c:pt idx="10">
                  <c:v>4.9846767061575434</c:v>
                </c:pt>
                <c:pt idx="11">
                  <c:v>5.3326179100196551</c:v>
                </c:pt>
                <c:pt idx="12">
                  <c:v>3.8137658542564572</c:v>
                </c:pt>
                <c:pt idx="13">
                  <c:v>3.7529171315472389</c:v>
                </c:pt>
                <c:pt idx="14">
                  <c:v>4.0233984415442796</c:v>
                </c:pt>
                <c:pt idx="15">
                  <c:v>3.6391620250561609</c:v>
                </c:pt>
                <c:pt idx="16">
                  <c:v>3.8533793741228162</c:v>
                </c:pt>
                <c:pt idx="17">
                  <c:v>3.9064232025832699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73-4A90-A068-2C6AE5D4B5F9}"/>
            </c:ext>
          </c:extLst>
        </c:ser>
        <c:ser>
          <c:idx val="3"/>
          <c:order val="3"/>
          <c:tx>
            <c:v>Model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Bay'!$AI$3:$AI$20</c:f>
              <c:numCache>
                <c:formatCode>General</c:formatCode>
                <c:ptCount val="18"/>
                <c:pt idx="0">
                  <c:v>7.5</c:v>
                </c:pt>
                <c:pt idx="1">
                  <c:v>4.8198805365226738</c:v>
                </c:pt>
                <c:pt idx="2">
                  <c:v>4.9997268984636456</c:v>
                </c:pt>
                <c:pt idx="3">
                  <c:v>5.2165164265154269</c:v>
                </c:pt>
                <c:pt idx="4">
                  <c:v>5.4613937563857089</c:v>
                </c:pt>
                <c:pt idx="5">
                  <c:v>5.7232455040624179</c:v>
                </c:pt>
                <c:pt idx="6">
                  <c:v>3.0472074293035059</c:v>
                </c:pt>
                <c:pt idx="7">
                  <c:v>3.329656243815311</c:v>
                </c:pt>
                <c:pt idx="8">
                  <c:v>3.599843029501077</c:v>
                </c:pt>
                <c:pt idx="9">
                  <c:v>3.844190215611067</c:v>
                </c:pt>
                <c:pt idx="10">
                  <c:v>4.1249013366863574</c:v>
                </c:pt>
                <c:pt idx="11">
                  <c:v>4.3817756235025351</c:v>
                </c:pt>
                <c:pt idx="12">
                  <c:v>3.1694252010051911</c:v>
                </c:pt>
                <c:pt idx="13">
                  <c:v>3.0764438759359751</c:v>
                </c:pt>
                <c:pt idx="14">
                  <c:v>3.2671581849629612</c:v>
                </c:pt>
                <c:pt idx="15">
                  <c:v>2.9243220691629319</c:v>
                </c:pt>
                <c:pt idx="16">
                  <c:v>3.0901294389331762</c:v>
                </c:pt>
                <c:pt idx="17">
                  <c:v>3.137685297726891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73-4A90-A068-2C6AE5D4B5F9}"/>
            </c:ext>
          </c:extLst>
        </c:ser>
        <c:ser>
          <c:idx val="4"/>
          <c:order val="4"/>
          <c:tx>
            <c:v>Model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Bay'!$AN$3:$AN$20</c:f>
              <c:numCache>
                <c:formatCode>General</c:formatCode>
                <c:ptCount val="18"/>
                <c:pt idx="0">
                  <c:v>7.5</c:v>
                </c:pt>
                <c:pt idx="1">
                  <c:v>6.0034755687626271</c:v>
                </c:pt>
                <c:pt idx="2">
                  <c:v>6.2236619438711038</c:v>
                </c:pt>
                <c:pt idx="3">
                  <c:v>6.486564161591355</c:v>
                </c:pt>
                <c:pt idx="4">
                  <c:v>6.723184993268922</c:v>
                </c:pt>
                <c:pt idx="5">
                  <c:v>6.9580779489870137</c:v>
                </c:pt>
                <c:pt idx="6">
                  <c:v>4.8254863159139232</c:v>
                </c:pt>
                <c:pt idx="7">
                  <c:v>5.1205407709482582</c:v>
                </c:pt>
                <c:pt idx="8">
                  <c:v>5.4047665488047523</c:v>
                </c:pt>
                <c:pt idx="9">
                  <c:v>5.6769266473760549</c:v>
                </c:pt>
                <c:pt idx="10">
                  <c:v>5.9668760143483066</c:v>
                </c:pt>
                <c:pt idx="11">
                  <c:v>6.2135303075632748</c:v>
                </c:pt>
                <c:pt idx="12">
                  <c:v>4.8660030436681874</c:v>
                </c:pt>
                <c:pt idx="13">
                  <c:v>4.7766247326735574</c:v>
                </c:pt>
                <c:pt idx="14">
                  <c:v>4.9864242170711011</c:v>
                </c:pt>
                <c:pt idx="15">
                  <c:v>4.6008231712740821</c:v>
                </c:pt>
                <c:pt idx="16">
                  <c:v>4.8043492878414886</c:v>
                </c:pt>
                <c:pt idx="17">
                  <c:v>4.8873462387585134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273-4A90-A068-2C6AE5D4B5F9}"/>
            </c:ext>
          </c:extLst>
        </c:ser>
        <c:ser>
          <c:idx val="5"/>
          <c:order val="5"/>
          <c:tx>
            <c:v>Model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'Geoffrey Bay'!$A$3:$A$20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xVal>
          <c:yVal>
            <c:numRef>
              <c:f>'Geoffrey Bay'!$AS$3:$AS$20</c:f>
              <c:numCache>
                <c:formatCode>General</c:formatCode>
                <c:ptCount val="18"/>
                <c:pt idx="0">
                  <c:v>7.5</c:v>
                </c:pt>
                <c:pt idx="1">
                  <c:v>5.9776948740491056</c:v>
                </c:pt>
                <c:pt idx="2">
                  <c:v>6.2269115287721579</c:v>
                </c:pt>
                <c:pt idx="3">
                  <c:v>6.536731469278366</c:v>
                </c:pt>
                <c:pt idx="4">
                  <c:v>6.8430171180492856</c:v>
                </c:pt>
                <c:pt idx="5">
                  <c:v>7.1128602920385662</c:v>
                </c:pt>
                <c:pt idx="6">
                  <c:v>5.0780212778773297</c:v>
                </c:pt>
                <c:pt idx="7">
                  <c:v>5.4315093562684353</c:v>
                </c:pt>
                <c:pt idx="8">
                  <c:v>5.7561045997235594</c:v>
                </c:pt>
                <c:pt idx="9">
                  <c:v>6.1572467116788054</c:v>
                </c:pt>
                <c:pt idx="10">
                  <c:v>6.4885374744768907</c:v>
                </c:pt>
                <c:pt idx="11">
                  <c:v>6.8179236467287412</c:v>
                </c:pt>
                <c:pt idx="12">
                  <c:v>4.5275847925372714</c:v>
                </c:pt>
                <c:pt idx="13">
                  <c:v>3.834569088109447</c:v>
                </c:pt>
                <c:pt idx="14">
                  <c:v>3.945221871855106</c:v>
                </c:pt>
                <c:pt idx="15">
                  <c:v>2.9946250222640458</c:v>
                </c:pt>
                <c:pt idx="16">
                  <c:v>3.126228302018331</c:v>
                </c:pt>
                <c:pt idx="17">
                  <c:v>2.967656412828386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273-4A90-A068-2C6AE5D4B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798831"/>
        <c:axId val="1239798415"/>
      </c:scatterChart>
      <c:valAx>
        <c:axId val="123979883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98415"/>
        <c:crosses val="autoZero"/>
        <c:crossBetween val="midCat"/>
      </c:valAx>
      <c:valAx>
        <c:axId val="1239798415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98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75406</xdr:colOff>
      <xdr:row>16</xdr:row>
      <xdr:rowOff>148430</xdr:rowOff>
    </xdr:from>
    <xdr:to>
      <xdr:col>7</xdr:col>
      <xdr:colOff>369093</xdr:colOff>
      <xdr:row>31</xdr:row>
      <xdr:rowOff>153193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F1B3B-6CDC-9817-81EA-25AD76190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293687</xdr:colOff>
      <xdr:row>32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3D128B-C966-45AA-A623-C3C09C850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</xdr:row>
      <xdr:rowOff>95250</xdr:rowOff>
    </xdr:from>
    <xdr:to>
      <xdr:col>23</xdr:col>
      <xdr:colOff>293687</xdr:colOff>
      <xdr:row>32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0C0CE8-4727-4E6E-B7C5-431D54951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17</xdr:row>
      <xdr:rowOff>0</xdr:rowOff>
    </xdr:from>
    <xdr:to>
      <xdr:col>31</xdr:col>
      <xdr:colOff>293687</xdr:colOff>
      <xdr:row>32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2E60F7-6F88-47B9-AAAB-C77121911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464344</xdr:colOff>
      <xdr:row>2</xdr:row>
      <xdr:rowOff>283368</xdr:rowOff>
    </xdr:from>
    <xdr:to>
      <xdr:col>62</xdr:col>
      <xdr:colOff>146844</xdr:colOff>
      <xdr:row>15</xdr:row>
      <xdr:rowOff>97630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992837-0B92-9D49-E9C0-A3577F9CA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515938</xdr:colOff>
      <xdr:row>47</xdr:row>
      <xdr:rowOff>172244</xdr:rowOff>
    </xdr:from>
    <xdr:to>
      <xdr:col>12</xdr:col>
      <xdr:colOff>396875</xdr:colOff>
      <xdr:row>62</xdr:row>
      <xdr:rowOff>177007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9FC976-1187-8697-8BAB-AD48E0EC6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48</xdr:row>
      <xdr:rowOff>0</xdr:rowOff>
    </xdr:from>
    <xdr:to>
      <xdr:col>26</xdr:col>
      <xdr:colOff>492125</xdr:colOff>
      <xdr:row>63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75C72E-E643-485D-B429-A928649D8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0</xdr:colOff>
      <xdr:row>48</xdr:row>
      <xdr:rowOff>0</xdr:rowOff>
    </xdr:from>
    <xdr:to>
      <xdr:col>40</xdr:col>
      <xdr:colOff>492125</xdr:colOff>
      <xdr:row>63</xdr:row>
      <xdr:rowOff>4762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475FBE-B13E-4E59-9988-3CF04CC70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0</xdr:colOff>
      <xdr:row>48</xdr:row>
      <xdr:rowOff>0</xdr:rowOff>
    </xdr:from>
    <xdr:to>
      <xdr:col>54</xdr:col>
      <xdr:colOff>492125</xdr:colOff>
      <xdr:row>63</xdr:row>
      <xdr:rowOff>4762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64B560-80A1-453F-B1B8-37AF40D5A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57</xdr:col>
      <xdr:colOff>0</xdr:colOff>
      <xdr:row>48</xdr:row>
      <xdr:rowOff>0</xdr:rowOff>
    </xdr:from>
    <xdr:to>
      <xdr:col>68</xdr:col>
      <xdr:colOff>492125</xdr:colOff>
      <xdr:row>63</xdr:row>
      <xdr:rowOff>4762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3DCB5D-96E9-4CB7-9109-A13B4E989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71</xdr:col>
      <xdr:colOff>0</xdr:colOff>
      <xdr:row>48</xdr:row>
      <xdr:rowOff>0</xdr:rowOff>
    </xdr:from>
    <xdr:to>
      <xdr:col>82</xdr:col>
      <xdr:colOff>492125</xdr:colOff>
      <xdr:row>63</xdr:row>
      <xdr:rowOff>4762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C55EF65-BC43-4DE6-803B-42FF7E057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99220</xdr:colOff>
      <xdr:row>22</xdr:row>
      <xdr:rowOff>21431</xdr:rowOff>
    </xdr:from>
    <xdr:to>
      <xdr:col>7</xdr:col>
      <xdr:colOff>392907</xdr:colOff>
      <xdr:row>37</xdr:row>
      <xdr:rowOff>26193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46BC8-7063-E2C6-960D-903CCF7DB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55562</xdr:colOff>
      <xdr:row>21</xdr:row>
      <xdr:rowOff>79375</xdr:rowOff>
    </xdr:from>
    <xdr:to>
      <xdr:col>15</xdr:col>
      <xdr:colOff>349249</xdr:colOff>
      <xdr:row>36</xdr:row>
      <xdr:rowOff>84138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8BD11C-900E-490A-905B-F5189D77C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21</xdr:row>
      <xdr:rowOff>0</xdr:rowOff>
    </xdr:from>
    <xdr:to>
      <xdr:col>23</xdr:col>
      <xdr:colOff>293687</xdr:colOff>
      <xdr:row>36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6BC7C8-F7E1-4248-B698-8A2847205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21</xdr:row>
      <xdr:rowOff>0</xdr:rowOff>
    </xdr:from>
    <xdr:to>
      <xdr:col>31</xdr:col>
      <xdr:colOff>293687</xdr:colOff>
      <xdr:row>36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0CD6AD-4BBF-4E43-B657-E0D2A55AD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cola Browne" id="{7CCAABF8-B327-48A8-BD18-799C93BE0336}" userId="S::uqnbro13@uq.edu.au::7fcc0c88-eca3-493b-92e8-b69a62f993be" providerId="AD"/>
  <person displayName="Nicola Browne" id="{CAAED7EC-4FF9-4C89-A38E-D51BEBA84709}" userId="S::261731A@curtin.edu.au::0ee04248-d62a-48f1-a843-4903d9502bb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3-09-01T05:03:46.29" personId="{7CCAABF8-B327-48A8-BD18-799C93BE0336}" id="{3E67998B-4D0C-482C-8AE0-DDECE5EEE6BF}">
    <text>Pocillopora as the brooder</text>
  </threadedComment>
  <threadedComment ref="I4" dT="2023-04-06T01:11:56.49" personId="{CAAED7EC-4FF9-4C89-A38E-D51BEBA84709}" id="{24514431-4315-46B6-B879-11F7D71BC366}">
    <text>Using TF cover + CCA from data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1" dT="2023-09-01T05:31:52.13" personId="{7CCAABF8-B327-48A8-BD18-799C93BE0336}" id="{801D6F7D-8C81-444F-94EC-CF7BB0D5B515}">
    <text>Protected fits the data better</text>
  </threadedComment>
  <threadedComment ref="AF1" dT="2023-09-01T05:31:52.13" personId="{7CCAABF8-B327-48A8-BD18-799C93BE0336}" id="{CA8EAB5C-649A-4C6E-85A4-08889DB6A249}">
    <text>Swtiched susceptibility to cyclone with O and F being twice that of branching</text>
  </threadedComment>
  <threadedComment ref="AK1" dT="2023-09-01T05:31:52.13" personId="{7CCAABF8-B327-48A8-BD18-799C93BE0336}" id="{AA8871A9-05B0-454D-A8B6-1F2D6C30559E}">
    <text>Switched the sensivity to bleaching but didn’t really have a bid impact on outcome. Values too high????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FDD4-0CAB-40F1-A71D-2526BE4F49C9}">
  <dimension ref="A1:X19"/>
  <sheetViews>
    <sheetView topLeftCell="K1" zoomScale="90" zoomScaleNormal="90" workbookViewId="0">
      <selection activeCell="A10" sqref="A10:XFD10"/>
    </sheetView>
  </sheetViews>
  <sheetFormatPr defaultRowHeight="14.5" x14ac:dyDescent="0.35"/>
  <cols>
    <col min="2" max="2" width="12.1796875" customWidth="1"/>
    <col min="3" max="3" width="17.7265625" customWidth="1"/>
    <col min="4" max="4" width="19.6328125" style="1" customWidth="1"/>
    <col min="5" max="5" width="11.26953125" style="1" customWidth="1"/>
    <col min="6" max="6" width="21.81640625" style="1" bestFit="1" customWidth="1"/>
    <col min="7" max="7" width="13.6328125" style="1" bestFit="1" customWidth="1"/>
    <col min="8" max="9" width="8.7265625" style="1"/>
    <col min="10" max="10" width="17.453125" style="1" bestFit="1" customWidth="1"/>
    <col min="11" max="11" width="8.7265625" style="1"/>
    <col min="12" max="12" width="11.26953125" style="1" bestFit="1" customWidth="1"/>
    <col min="13" max="13" width="10" style="1" bestFit="1" customWidth="1"/>
    <col min="14" max="14" width="14.81640625" style="1" bestFit="1" customWidth="1"/>
    <col min="15" max="15" width="8.7265625" style="1"/>
  </cols>
  <sheetData>
    <row r="1" spans="1:24" x14ac:dyDescent="0.35">
      <c r="P1" t="s">
        <v>114</v>
      </c>
      <c r="S1" t="s">
        <v>115</v>
      </c>
      <c r="V1" s="20" t="s">
        <v>131</v>
      </c>
    </row>
    <row r="2" spans="1:24" x14ac:dyDescent="0.35">
      <c r="P2" s="24" t="s">
        <v>6</v>
      </c>
      <c r="Q2" s="23"/>
      <c r="R2" s="23"/>
      <c r="S2" s="23"/>
      <c r="V2" s="22" t="s">
        <v>132</v>
      </c>
    </row>
    <row r="3" spans="1:24" s="4" customFormat="1" x14ac:dyDescent="0.35">
      <c r="A3" s="22"/>
      <c r="B3" s="22" t="s">
        <v>117</v>
      </c>
      <c r="C3" s="22"/>
      <c r="D3" s="3" t="s">
        <v>0</v>
      </c>
      <c r="E3" s="3" t="s">
        <v>14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18" t="s">
        <v>108</v>
      </c>
      <c r="Q3" s="18" t="s">
        <v>109</v>
      </c>
      <c r="R3" s="17" t="s">
        <v>82</v>
      </c>
      <c r="S3" s="17" t="s">
        <v>110</v>
      </c>
      <c r="T3" s="17" t="s">
        <v>111</v>
      </c>
      <c r="U3" s="18" t="s">
        <v>112</v>
      </c>
      <c r="V3" s="18" t="s">
        <v>113</v>
      </c>
      <c r="X3" s="25" t="s">
        <v>139</v>
      </c>
    </row>
    <row r="4" spans="1:24" x14ac:dyDescent="0.35">
      <c r="A4" s="20" t="s">
        <v>128</v>
      </c>
      <c r="B4" s="20" t="s">
        <v>118</v>
      </c>
      <c r="C4" s="20" t="s">
        <v>140</v>
      </c>
      <c r="D4" s="1" t="s">
        <v>13</v>
      </c>
      <c r="E4" s="1">
        <v>1</v>
      </c>
      <c r="F4" s="1" t="s">
        <v>16</v>
      </c>
      <c r="G4" s="1" t="s">
        <v>11</v>
      </c>
      <c r="H4" s="1" t="s">
        <v>107</v>
      </c>
      <c r="I4" s="1">
        <v>21</v>
      </c>
      <c r="J4" s="1" t="s">
        <v>12</v>
      </c>
      <c r="K4" s="1">
        <v>71.900000000000006</v>
      </c>
      <c r="L4" s="1">
        <v>10000</v>
      </c>
      <c r="M4" s="1">
        <v>5</v>
      </c>
      <c r="N4" s="2" t="s">
        <v>106</v>
      </c>
      <c r="O4" s="1">
        <v>0.5</v>
      </c>
      <c r="P4" s="1">
        <v>0</v>
      </c>
      <c r="Q4" s="1">
        <v>1</v>
      </c>
      <c r="R4" s="1">
        <v>8.5</v>
      </c>
      <c r="S4" s="1">
        <v>62.4</v>
      </c>
      <c r="T4" s="1">
        <v>3.5</v>
      </c>
      <c r="U4" s="1">
        <v>1.5</v>
      </c>
      <c r="V4" s="1">
        <v>2.9</v>
      </c>
      <c r="X4" s="26">
        <f>SUM(P4:S4)</f>
        <v>71.900000000000006</v>
      </c>
    </row>
    <row r="5" spans="1:24" x14ac:dyDescent="0.35">
      <c r="A5" s="20" t="s">
        <v>128</v>
      </c>
      <c r="B5" s="20" t="s">
        <v>119</v>
      </c>
      <c r="C5" s="20" t="s">
        <v>141</v>
      </c>
      <c r="D5" s="1" t="s">
        <v>13</v>
      </c>
      <c r="E5" s="1">
        <v>2</v>
      </c>
      <c r="F5" s="1" t="s">
        <v>16</v>
      </c>
      <c r="G5" s="1" t="s">
        <v>11</v>
      </c>
      <c r="H5" s="1" t="s">
        <v>107</v>
      </c>
      <c r="I5" s="1">
        <v>21</v>
      </c>
      <c r="J5" s="1" t="s">
        <v>12</v>
      </c>
      <c r="K5" s="1">
        <v>71.900000000000006</v>
      </c>
      <c r="L5" s="1">
        <v>10000</v>
      </c>
      <c r="M5" s="1">
        <v>5</v>
      </c>
      <c r="N5" s="2" t="s">
        <v>116</v>
      </c>
      <c r="O5" s="1">
        <v>0.5</v>
      </c>
      <c r="P5" s="19">
        <v>0</v>
      </c>
      <c r="Q5" s="19">
        <v>1</v>
      </c>
      <c r="R5" s="19">
        <v>8.5</v>
      </c>
      <c r="S5" s="19">
        <v>62.4</v>
      </c>
      <c r="T5" s="19">
        <v>3.5</v>
      </c>
      <c r="U5" s="19">
        <v>1.5</v>
      </c>
      <c r="V5" s="19">
        <v>2.9</v>
      </c>
      <c r="X5" s="26">
        <f t="shared" ref="X5:X7" si="0">SUM(P5:S5)</f>
        <v>71.900000000000006</v>
      </c>
    </row>
    <row r="6" spans="1:24" x14ac:dyDescent="0.35">
      <c r="A6" s="20" t="s">
        <v>128</v>
      </c>
      <c r="B6" s="20" t="s">
        <v>120</v>
      </c>
      <c r="C6" s="20" t="s">
        <v>142</v>
      </c>
      <c r="D6" s="1" t="s">
        <v>13</v>
      </c>
      <c r="E6" s="1">
        <v>1</v>
      </c>
      <c r="F6" s="1" t="s">
        <v>16</v>
      </c>
      <c r="G6" s="1" t="s">
        <v>11</v>
      </c>
      <c r="H6" s="1" t="s">
        <v>107</v>
      </c>
      <c r="I6" s="1">
        <v>21</v>
      </c>
      <c r="J6" s="2" t="s">
        <v>12</v>
      </c>
      <c r="K6" s="1">
        <v>71.900000000000006</v>
      </c>
      <c r="L6" s="1">
        <v>10000</v>
      </c>
      <c r="M6" s="1">
        <v>5</v>
      </c>
      <c r="N6" s="1" t="s">
        <v>79</v>
      </c>
      <c r="O6" s="1">
        <v>0.5</v>
      </c>
      <c r="P6" s="19">
        <v>0</v>
      </c>
      <c r="Q6" s="19">
        <v>1</v>
      </c>
      <c r="R6" s="19">
        <v>8.5</v>
      </c>
      <c r="S6" s="19">
        <v>62.4</v>
      </c>
      <c r="T6" s="19">
        <v>3.5</v>
      </c>
      <c r="U6" s="19">
        <v>1.5</v>
      </c>
      <c r="V6" s="19">
        <v>2.9</v>
      </c>
      <c r="X6" s="26">
        <f t="shared" si="0"/>
        <v>71.900000000000006</v>
      </c>
    </row>
    <row r="7" spans="1:24" x14ac:dyDescent="0.35">
      <c r="A7" s="20" t="s">
        <v>128</v>
      </c>
      <c r="B7" s="20" t="s">
        <v>121</v>
      </c>
      <c r="C7" s="20" t="s">
        <v>143</v>
      </c>
      <c r="D7" s="1" t="s">
        <v>13</v>
      </c>
      <c r="E7" s="1">
        <v>3</v>
      </c>
      <c r="F7" s="1" t="s">
        <v>16</v>
      </c>
      <c r="G7" s="1" t="s">
        <v>11</v>
      </c>
      <c r="H7" s="1" t="s">
        <v>107</v>
      </c>
      <c r="I7" s="1">
        <v>21</v>
      </c>
      <c r="J7" s="2" t="s">
        <v>15</v>
      </c>
      <c r="K7" s="1">
        <v>71.900000000000006</v>
      </c>
      <c r="L7" s="1">
        <v>10000</v>
      </c>
      <c r="M7" s="1">
        <v>5</v>
      </c>
      <c r="N7" s="1" t="s">
        <v>79</v>
      </c>
      <c r="O7" s="1">
        <v>0.5</v>
      </c>
      <c r="P7" s="19">
        <v>0</v>
      </c>
      <c r="Q7" s="21">
        <v>1</v>
      </c>
      <c r="R7" s="21">
        <v>1</v>
      </c>
      <c r="S7" s="21">
        <v>48</v>
      </c>
      <c r="T7" s="21">
        <v>13.5</v>
      </c>
      <c r="U7" s="20">
        <v>1.5</v>
      </c>
      <c r="V7" s="21">
        <v>14.8</v>
      </c>
      <c r="W7" s="20" t="s">
        <v>138</v>
      </c>
      <c r="X7" s="26">
        <f t="shared" si="0"/>
        <v>50</v>
      </c>
    </row>
    <row r="8" spans="1:24" s="20" customFormat="1" x14ac:dyDescent="0.35">
      <c r="B8" s="20" t="s">
        <v>137</v>
      </c>
      <c r="D8" s="19"/>
      <c r="E8" s="19"/>
      <c r="F8" s="19" t="s">
        <v>16</v>
      </c>
      <c r="G8" s="19" t="s">
        <v>11</v>
      </c>
      <c r="H8" s="19" t="s">
        <v>107</v>
      </c>
      <c r="I8" s="19">
        <v>21</v>
      </c>
      <c r="J8" s="19" t="s">
        <v>12</v>
      </c>
      <c r="K8" s="19">
        <v>40</v>
      </c>
      <c r="L8" s="19"/>
      <c r="M8" s="19">
        <v>5</v>
      </c>
      <c r="N8" s="19" t="s">
        <v>79</v>
      </c>
      <c r="O8" s="19"/>
      <c r="P8" s="19"/>
      <c r="Q8" s="21"/>
      <c r="R8" s="21"/>
      <c r="S8" s="21"/>
      <c r="T8" s="21"/>
      <c r="V8" s="21"/>
    </row>
    <row r="9" spans="1:24" x14ac:dyDescent="0.35">
      <c r="A9" s="20"/>
      <c r="B9" s="20" t="s">
        <v>122</v>
      </c>
      <c r="C9" s="20" t="s">
        <v>144</v>
      </c>
      <c r="D9" s="1" t="s">
        <v>13</v>
      </c>
      <c r="E9" s="1">
        <v>1</v>
      </c>
      <c r="F9" s="1" t="s">
        <v>16</v>
      </c>
      <c r="G9" s="1" t="s">
        <v>11</v>
      </c>
      <c r="H9" s="1" t="s">
        <v>107</v>
      </c>
      <c r="I9" s="1">
        <v>21</v>
      </c>
      <c r="J9" s="1" t="s">
        <v>12</v>
      </c>
      <c r="K9" s="2">
        <v>71.900000000000006</v>
      </c>
      <c r="L9" s="1">
        <v>10000</v>
      </c>
      <c r="M9" s="1">
        <v>5</v>
      </c>
      <c r="N9" s="1" t="s">
        <v>79</v>
      </c>
      <c r="O9" s="1">
        <v>0.5</v>
      </c>
    </row>
    <row r="10" spans="1:24" x14ac:dyDescent="0.35">
      <c r="A10" s="20"/>
      <c r="B10" s="20" t="s">
        <v>123</v>
      </c>
      <c r="C10" s="20" t="s">
        <v>145</v>
      </c>
      <c r="D10" s="1" t="s">
        <v>13</v>
      </c>
      <c r="E10" s="1">
        <v>4</v>
      </c>
      <c r="F10" s="1" t="s">
        <v>16</v>
      </c>
      <c r="G10" s="1" t="s">
        <v>11</v>
      </c>
      <c r="H10" s="1" t="s">
        <v>107</v>
      </c>
      <c r="I10" s="1">
        <v>21</v>
      </c>
      <c r="J10" s="1" t="s">
        <v>12</v>
      </c>
      <c r="K10" s="2">
        <v>50</v>
      </c>
      <c r="L10" s="1">
        <v>10000</v>
      </c>
      <c r="M10" s="1">
        <v>5</v>
      </c>
      <c r="N10" s="1" t="s">
        <v>79</v>
      </c>
      <c r="O10" s="1">
        <v>0.5</v>
      </c>
    </row>
    <row r="11" spans="1:24" x14ac:dyDescent="0.35">
      <c r="A11" s="20"/>
      <c r="B11" s="20" t="s">
        <v>124</v>
      </c>
      <c r="C11" s="20"/>
      <c r="D11" s="1" t="s">
        <v>13</v>
      </c>
      <c r="E11" s="1">
        <v>1</v>
      </c>
      <c r="F11" s="1" t="s">
        <v>16</v>
      </c>
      <c r="G11" s="1" t="s">
        <v>11</v>
      </c>
      <c r="H11" s="1" t="s">
        <v>107</v>
      </c>
      <c r="I11" s="1">
        <v>21</v>
      </c>
      <c r="J11" s="1" t="s">
        <v>12</v>
      </c>
      <c r="K11" s="1">
        <v>71.900000000000006</v>
      </c>
      <c r="L11" s="1">
        <v>10000</v>
      </c>
      <c r="M11" s="2">
        <v>3</v>
      </c>
      <c r="N11" s="1" t="s">
        <v>79</v>
      </c>
      <c r="O11" s="1">
        <v>0.5</v>
      </c>
    </row>
    <row r="12" spans="1:24" x14ac:dyDescent="0.35">
      <c r="A12" s="20"/>
      <c r="B12" s="20" t="s">
        <v>125</v>
      </c>
      <c r="C12" s="20"/>
      <c r="D12" s="1" t="s">
        <v>13</v>
      </c>
      <c r="E12" s="1">
        <v>5</v>
      </c>
      <c r="F12" s="1" t="s">
        <v>16</v>
      </c>
      <c r="G12" s="1" t="s">
        <v>11</v>
      </c>
      <c r="H12" s="1" t="s">
        <v>107</v>
      </c>
      <c r="I12" s="1">
        <v>21</v>
      </c>
      <c r="J12" s="1" t="s">
        <v>12</v>
      </c>
      <c r="K12" s="1">
        <v>71.900000000000006</v>
      </c>
      <c r="L12" s="1">
        <v>10000</v>
      </c>
      <c r="M12" s="2">
        <v>5</v>
      </c>
      <c r="N12" s="1" t="s">
        <v>79</v>
      </c>
      <c r="O12" s="1">
        <v>0.5</v>
      </c>
    </row>
    <row r="13" spans="1:24" x14ac:dyDescent="0.35">
      <c r="A13" s="20"/>
      <c r="B13" s="20" t="s">
        <v>126</v>
      </c>
      <c r="C13" s="20"/>
      <c r="D13" s="1" t="s">
        <v>13</v>
      </c>
      <c r="E13" s="1">
        <v>1</v>
      </c>
      <c r="F13" s="1" t="s">
        <v>16</v>
      </c>
      <c r="G13" s="1" t="s">
        <v>11</v>
      </c>
      <c r="H13" s="1" t="s">
        <v>107</v>
      </c>
      <c r="I13" s="1">
        <v>21</v>
      </c>
      <c r="J13" s="1" t="s">
        <v>12</v>
      </c>
      <c r="K13" s="1">
        <v>71.900000000000006</v>
      </c>
      <c r="L13" s="1">
        <v>10000</v>
      </c>
      <c r="M13" s="1">
        <v>5</v>
      </c>
      <c r="N13" s="1" t="s">
        <v>79</v>
      </c>
      <c r="O13" s="1">
        <v>0.5</v>
      </c>
    </row>
    <row r="14" spans="1:24" x14ac:dyDescent="0.35">
      <c r="A14" s="20"/>
      <c r="B14" s="20" t="s">
        <v>127</v>
      </c>
      <c r="C14" s="20"/>
      <c r="D14" s="1" t="s">
        <v>13</v>
      </c>
      <c r="E14" s="1">
        <v>6</v>
      </c>
      <c r="F14" s="1" t="s">
        <v>16</v>
      </c>
      <c r="G14" s="2" t="s">
        <v>76</v>
      </c>
      <c r="H14" s="1" t="s">
        <v>107</v>
      </c>
      <c r="I14" s="1">
        <v>21</v>
      </c>
      <c r="J14" s="1" t="s">
        <v>12</v>
      </c>
      <c r="K14" s="1">
        <v>71.900000000000006</v>
      </c>
      <c r="L14" s="1">
        <v>10000</v>
      </c>
      <c r="M14" s="1">
        <v>5</v>
      </c>
      <c r="N14" s="1" t="s">
        <v>79</v>
      </c>
      <c r="O14" s="1">
        <v>0.5</v>
      </c>
    </row>
    <row r="15" spans="1:24" x14ac:dyDescent="0.35">
      <c r="D15" s="1" t="s">
        <v>17</v>
      </c>
      <c r="E15" s="1">
        <v>1</v>
      </c>
      <c r="F15" s="1" t="s">
        <v>146</v>
      </c>
      <c r="G15" s="1" t="s">
        <v>11</v>
      </c>
      <c r="H15" s="1" t="s">
        <v>24</v>
      </c>
      <c r="I15" s="1">
        <v>10</v>
      </c>
      <c r="J15" s="1" t="s">
        <v>26</v>
      </c>
      <c r="K15" s="1">
        <v>60</v>
      </c>
      <c r="L15" s="11">
        <f>300*500</f>
        <v>150000</v>
      </c>
      <c r="M15" s="1">
        <v>11</v>
      </c>
    </row>
    <row r="16" spans="1:24" x14ac:dyDescent="0.35">
      <c r="D16" s="1" t="s">
        <v>17</v>
      </c>
      <c r="E16" s="1">
        <v>2</v>
      </c>
      <c r="F16" s="1" t="s">
        <v>18</v>
      </c>
      <c r="G16" s="1" t="s">
        <v>19</v>
      </c>
      <c r="H16" s="1" t="s">
        <v>24</v>
      </c>
      <c r="I16" s="1">
        <v>17</v>
      </c>
      <c r="J16" s="1" t="s">
        <v>25</v>
      </c>
      <c r="K16" s="1">
        <v>38</v>
      </c>
      <c r="L16" s="11">
        <f>1000*200</f>
        <v>200000</v>
      </c>
      <c r="M16" s="1">
        <v>11</v>
      </c>
    </row>
    <row r="17" spans="4:13" x14ac:dyDescent="0.35">
      <c r="D17" s="1" t="s">
        <v>17</v>
      </c>
      <c r="E17" s="1">
        <v>3</v>
      </c>
      <c r="F17" s="1" t="s">
        <v>20</v>
      </c>
      <c r="G17" s="1" t="s">
        <v>11</v>
      </c>
      <c r="H17" s="1" t="s">
        <v>28</v>
      </c>
      <c r="I17" s="1">
        <v>32</v>
      </c>
      <c r="J17" s="1" t="s">
        <v>26</v>
      </c>
      <c r="K17" s="1">
        <v>35</v>
      </c>
      <c r="L17" s="11">
        <f>13000*13000</f>
        <v>169000000</v>
      </c>
      <c r="M17" s="1">
        <v>9</v>
      </c>
    </row>
    <row r="18" spans="4:13" x14ac:dyDescent="0.35">
      <c r="D18" s="1" t="s">
        <v>17</v>
      </c>
      <c r="E18" s="1">
        <v>4</v>
      </c>
      <c r="F18" s="1" t="s">
        <v>21</v>
      </c>
      <c r="G18" s="1" t="s">
        <v>11</v>
      </c>
      <c r="H18" s="1" t="s">
        <v>29</v>
      </c>
      <c r="I18" s="1">
        <v>50</v>
      </c>
      <c r="J18" s="1" t="s">
        <v>15</v>
      </c>
      <c r="K18" s="1">
        <v>18</v>
      </c>
      <c r="L18" s="11">
        <f>700*2000</f>
        <v>1400000</v>
      </c>
      <c r="M18" s="1">
        <v>11</v>
      </c>
    </row>
    <row r="19" spans="4:13" x14ac:dyDescent="0.35">
      <c r="D19" s="1" t="s">
        <v>17</v>
      </c>
      <c r="E19" s="1">
        <v>5</v>
      </c>
      <c r="F19" s="1" t="s">
        <v>22</v>
      </c>
      <c r="G19" s="1" t="s">
        <v>23</v>
      </c>
      <c r="H19" s="1" t="s">
        <v>27</v>
      </c>
      <c r="I19" s="1">
        <v>43</v>
      </c>
      <c r="J19" s="1" t="s">
        <v>25</v>
      </c>
      <c r="L19" s="11">
        <f>10000*14</f>
        <v>140000</v>
      </c>
      <c r="M19" s="1">
        <v>11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91FB-F623-406E-BA01-04AB7E2AF3EF}">
  <dimension ref="A1:CE47"/>
  <sheetViews>
    <sheetView topLeftCell="A2" zoomScale="80" zoomScaleNormal="80" workbookViewId="0">
      <selection activeCell="G8" sqref="G8"/>
    </sheetView>
  </sheetViews>
  <sheetFormatPr defaultRowHeight="14.5" x14ac:dyDescent="0.35"/>
  <sheetData>
    <row r="1" spans="1:54" x14ac:dyDescent="0.35">
      <c r="A1" s="5" t="s">
        <v>45</v>
      </c>
      <c r="D1" t="s">
        <v>92</v>
      </c>
      <c r="F1" s="1"/>
      <c r="G1" s="1"/>
      <c r="H1" s="1"/>
      <c r="I1" s="1"/>
      <c r="J1" s="1"/>
      <c r="K1" s="1"/>
      <c r="L1" s="1"/>
      <c r="M1" s="1"/>
      <c r="N1" s="1"/>
    </row>
    <row r="2" spans="1:54" x14ac:dyDescent="0.35">
      <c r="A2" s="5"/>
      <c r="F2" s="1"/>
      <c r="G2" s="1"/>
      <c r="H2" s="1"/>
      <c r="I2" s="1"/>
      <c r="J2" s="1"/>
      <c r="K2" s="1"/>
      <c r="L2" s="1"/>
      <c r="M2" s="1"/>
      <c r="N2" s="1"/>
      <c r="Y2" s="20"/>
      <c r="Z2" s="20" t="s">
        <v>130</v>
      </c>
      <c r="AA2" s="20"/>
      <c r="AB2" s="20"/>
      <c r="AC2" s="20"/>
      <c r="AD2" s="20"/>
      <c r="AE2" s="20" t="s">
        <v>129</v>
      </c>
      <c r="AF2" s="20"/>
      <c r="AG2" s="20"/>
      <c r="AH2" s="20"/>
      <c r="AI2" s="20"/>
      <c r="AJ2" s="20" t="s">
        <v>133</v>
      </c>
      <c r="AK2" s="20"/>
      <c r="AO2" s="20" t="s">
        <v>134</v>
      </c>
      <c r="AW2" t="s">
        <v>135</v>
      </c>
      <c r="AX2" t="s">
        <v>136</v>
      </c>
      <c r="AY2" t="s">
        <v>130</v>
      </c>
      <c r="AZ2" t="s">
        <v>129</v>
      </c>
      <c r="BA2" t="s">
        <v>133</v>
      </c>
      <c r="BB2" t="s">
        <v>134</v>
      </c>
    </row>
    <row r="3" spans="1:54" ht="29" x14ac:dyDescent="0.35">
      <c r="A3" s="6"/>
      <c r="B3" s="27" t="s">
        <v>30</v>
      </c>
      <c r="C3" s="27"/>
      <c r="D3" s="27"/>
      <c r="E3" s="27"/>
      <c r="F3" s="27" t="s">
        <v>31</v>
      </c>
      <c r="G3" s="27"/>
      <c r="H3" s="27"/>
      <c r="I3" s="5"/>
      <c r="J3" s="27" t="s">
        <v>32</v>
      </c>
      <c r="K3" s="27"/>
      <c r="L3" s="27"/>
      <c r="M3" s="27"/>
      <c r="N3" s="27"/>
      <c r="P3" s="27" t="s">
        <v>46</v>
      </c>
      <c r="Q3" s="27"/>
      <c r="R3" s="27"/>
      <c r="S3" s="27"/>
      <c r="U3" s="27" t="s">
        <v>77</v>
      </c>
      <c r="V3" s="27"/>
      <c r="W3" s="27"/>
      <c r="X3" s="27"/>
      <c r="Z3" s="27" t="s">
        <v>62</v>
      </c>
      <c r="AA3" s="27"/>
      <c r="AB3" s="27"/>
      <c r="AC3" s="27"/>
      <c r="AE3" s="27" t="s">
        <v>78</v>
      </c>
      <c r="AF3" s="27"/>
      <c r="AG3" s="27"/>
      <c r="AH3" s="27"/>
      <c r="AJ3" s="27" t="s">
        <v>66</v>
      </c>
      <c r="AK3" s="27"/>
      <c r="AL3" s="27"/>
      <c r="AM3" s="27"/>
      <c r="AO3" s="27" t="s">
        <v>68</v>
      </c>
      <c r="AP3" s="27"/>
      <c r="AQ3" s="27"/>
      <c r="AR3" s="27"/>
      <c r="AV3" s="5" t="s">
        <v>65</v>
      </c>
      <c r="AW3" s="9" t="s">
        <v>72</v>
      </c>
      <c r="AX3" s="9" t="s">
        <v>73</v>
      </c>
      <c r="AY3" s="9" t="s">
        <v>74</v>
      </c>
      <c r="AZ3" s="9" t="s">
        <v>75</v>
      </c>
      <c r="BA3" s="9" t="s">
        <v>71</v>
      </c>
      <c r="BB3" s="9" t="s">
        <v>70</v>
      </c>
    </row>
    <row r="4" spans="1:54" ht="43.5" x14ac:dyDescent="0.35">
      <c r="A4" s="7" t="s">
        <v>33</v>
      </c>
      <c r="B4" s="7" t="s">
        <v>34</v>
      </c>
      <c r="C4" s="7" t="s">
        <v>15</v>
      </c>
      <c r="D4" s="7" t="s">
        <v>35</v>
      </c>
      <c r="E4" s="7" t="s">
        <v>36</v>
      </c>
      <c r="F4" s="7" t="s">
        <v>37</v>
      </c>
      <c r="G4" s="7" t="s">
        <v>38</v>
      </c>
      <c r="H4" s="7" t="s">
        <v>39</v>
      </c>
      <c r="I4" s="7" t="s">
        <v>40</v>
      </c>
      <c r="J4" s="7" t="s">
        <v>41</v>
      </c>
      <c r="K4" s="7" t="s">
        <v>42</v>
      </c>
      <c r="L4" s="7" t="s">
        <v>8</v>
      </c>
      <c r="M4" s="7" t="s">
        <v>43</v>
      </c>
      <c r="N4" s="7" t="s">
        <v>44</v>
      </c>
      <c r="P4" s="7" t="s">
        <v>34</v>
      </c>
      <c r="Q4" s="7" t="s">
        <v>15</v>
      </c>
      <c r="R4" s="7" t="s">
        <v>35</v>
      </c>
      <c r="S4" s="7" t="s">
        <v>36</v>
      </c>
      <c r="U4" s="7" t="s">
        <v>34</v>
      </c>
      <c r="V4" s="7" t="s">
        <v>15</v>
      </c>
      <c r="W4" s="7" t="s">
        <v>35</v>
      </c>
      <c r="X4" s="7" t="s">
        <v>36</v>
      </c>
      <c r="Z4" s="7" t="s">
        <v>34</v>
      </c>
      <c r="AA4" s="7" t="s">
        <v>15</v>
      </c>
      <c r="AB4" s="7" t="s">
        <v>35</v>
      </c>
      <c r="AC4" s="7" t="s">
        <v>36</v>
      </c>
      <c r="AE4" s="7" t="s">
        <v>34</v>
      </c>
      <c r="AF4" s="7" t="s">
        <v>15</v>
      </c>
      <c r="AG4" s="7" t="s">
        <v>35</v>
      </c>
      <c r="AH4" s="7" t="s">
        <v>36</v>
      </c>
      <c r="AJ4" s="7" t="s">
        <v>34</v>
      </c>
      <c r="AK4" s="7" t="s">
        <v>15</v>
      </c>
      <c r="AL4" s="7" t="s">
        <v>35</v>
      </c>
      <c r="AM4" s="7" t="s">
        <v>36</v>
      </c>
      <c r="AO4" s="7" t="s">
        <v>34</v>
      </c>
      <c r="AP4" s="7" t="s">
        <v>15</v>
      </c>
      <c r="AQ4" s="7" t="s">
        <v>35</v>
      </c>
      <c r="AR4" s="7" t="s">
        <v>36</v>
      </c>
      <c r="AV4" s="4"/>
      <c r="AW4" s="4">
        <v>1</v>
      </c>
      <c r="AX4" s="4">
        <v>2</v>
      </c>
      <c r="AY4" s="4">
        <v>3</v>
      </c>
      <c r="AZ4" s="4">
        <v>4</v>
      </c>
      <c r="BA4" s="4">
        <v>5</v>
      </c>
      <c r="BB4" s="4">
        <v>6</v>
      </c>
    </row>
    <row r="5" spans="1:54" x14ac:dyDescent="0.35">
      <c r="A5" s="1">
        <v>2011</v>
      </c>
      <c r="B5" s="1">
        <v>20.2</v>
      </c>
      <c r="C5" s="1">
        <f xml:space="preserve"> 0.8+0.9</f>
        <v>1.7000000000000002</v>
      </c>
      <c r="D5" s="1">
        <v>6</v>
      </c>
      <c r="E5" s="1">
        <f>B5-C5-D5</f>
        <v>12.5</v>
      </c>
      <c r="F5" s="1">
        <f>(C5-H5)+D5</f>
        <v>6.8</v>
      </c>
      <c r="G5" s="1">
        <f>E5</f>
        <v>12.5</v>
      </c>
      <c r="H5" s="1">
        <v>0.9</v>
      </c>
      <c r="I5" s="1">
        <v>71.900000000000006</v>
      </c>
      <c r="J5" s="1">
        <v>1.6</v>
      </c>
      <c r="K5" s="1">
        <v>10000</v>
      </c>
      <c r="L5" s="1">
        <v>5</v>
      </c>
      <c r="M5" s="1"/>
      <c r="N5" s="1">
        <v>0.5</v>
      </c>
      <c r="P5">
        <v>20.6</v>
      </c>
      <c r="Q5">
        <v>1.8</v>
      </c>
      <c r="R5">
        <v>6.9</v>
      </c>
      <c r="S5">
        <v>11.9</v>
      </c>
      <c r="U5">
        <v>20.6</v>
      </c>
      <c r="V5">
        <v>1.8</v>
      </c>
      <c r="W5">
        <v>6.9</v>
      </c>
      <c r="X5">
        <v>11.9</v>
      </c>
      <c r="Z5">
        <v>20.7</v>
      </c>
      <c r="AA5">
        <v>15</v>
      </c>
      <c r="AB5">
        <v>2.85</v>
      </c>
      <c r="AC5">
        <v>2.85</v>
      </c>
      <c r="AE5">
        <v>20.6</v>
      </c>
      <c r="AF5">
        <v>1.8</v>
      </c>
      <c r="AG5">
        <v>6.9</v>
      </c>
      <c r="AH5">
        <v>11.9</v>
      </c>
      <c r="AJ5">
        <v>20.6</v>
      </c>
      <c r="AK5">
        <v>1.8</v>
      </c>
      <c r="AL5">
        <v>6.9</v>
      </c>
      <c r="AM5">
        <v>11.9</v>
      </c>
      <c r="AO5">
        <v>20.6</v>
      </c>
      <c r="AP5">
        <v>1.8</v>
      </c>
      <c r="AQ5">
        <v>6.9</v>
      </c>
      <c r="AR5">
        <v>11.9</v>
      </c>
      <c r="AV5" s="1">
        <v>2011</v>
      </c>
      <c r="AW5">
        <v>1.6</v>
      </c>
      <c r="AX5">
        <v>1.6</v>
      </c>
      <c r="AY5">
        <v>1.6</v>
      </c>
      <c r="AZ5">
        <v>1.6</v>
      </c>
      <c r="BA5">
        <v>1.6</v>
      </c>
      <c r="BB5">
        <v>1.6</v>
      </c>
    </row>
    <row r="6" spans="1:54" x14ac:dyDescent="0.35">
      <c r="A6" s="1">
        <v>2012</v>
      </c>
      <c r="B6" s="1"/>
      <c r="C6" s="1"/>
      <c r="D6" s="1"/>
      <c r="E6" s="1"/>
      <c r="F6" s="1"/>
      <c r="G6" s="1"/>
      <c r="H6" s="1"/>
      <c r="I6" s="1"/>
      <c r="J6" s="1"/>
      <c r="K6" s="8"/>
      <c r="L6" s="1"/>
      <c r="M6" s="1"/>
      <c r="N6" s="1"/>
      <c r="P6">
        <v>20.998483836410511</v>
      </c>
      <c r="Q6">
        <v>1.963750662896725</v>
      </c>
      <c r="R6">
        <v>6.9509308257000946</v>
      </c>
      <c r="S6">
        <v>12.0838023478137</v>
      </c>
      <c r="U6">
        <v>21.21496902267398</v>
      </c>
      <c r="V6">
        <v>1.9935270707665309</v>
      </c>
      <c r="W6">
        <v>7.094256173043088</v>
      </c>
      <c r="X6">
        <v>12.12718577886436</v>
      </c>
      <c r="Z6">
        <v>21.314380795206009</v>
      </c>
      <c r="AA6">
        <v>15.616542921729501</v>
      </c>
      <c r="AB6">
        <v>2.8581130039885272</v>
      </c>
      <c r="AC6">
        <v>2.8397248694879842</v>
      </c>
      <c r="AE6">
        <v>20.757297877908201</v>
      </c>
      <c r="AF6">
        <v>1.893899313739565</v>
      </c>
      <c r="AG6">
        <v>6.9051617477281102</v>
      </c>
      <c r="AH6">
        <v>11.958236816440531</v>
      </c>
      <c r="AJ6">
        <v>29.33322732115467</v>
      </c>
      <c r="AK6">
        <v>2.497271635292611</v>
      </c>
      <c r="AL6">
        <v>8.4696258018306168</v>
      </c>
      <c r="AM6">
        <v>18.36632988403144</v>
      </c>
      <c r="AO6">
        <v>20.56753586415433</v>
      </c>
      <c r="AP6">
        <v>1.875030122863941</v>
      </c>
      <c r="AQ6">
        <v>6.9256704572698258</v>
      </c>
      <c r="AR6">
        <v>11.766835284020569</v>
      </c>
      <c r="AV6" s="1">
        <v>2012</v>
      </c>
      <c r="AW6">
        <v>1.6134886778624959</v>
      </c>
      <c r="AX6">
        <v>1.6208167014175141</v>
      </c>
      <c r="AY6">
        <v>1.6299203447265329</v>
      </c>
      <c r="AZ6">
        <v>1.605324533167193</v>
      </c>
      <c r="BA6">
        <v>1.7737912236909781</v>
      </c>
      <c r="BB6">
        <v>1.598901089001624</v>
      </c>
    </row>
    <row r="7" spans="1:54" x14ac:dyDescent="0.35">
      <c r="A7" s="1">
        <v>2013</v>
      </c>
      <c r="B7" s="1">
        <v>22.6</v>
      </c>
      <c r="C7" s="1">
        <f>1 +1.5</f>
        <v>2.5</v>
      </c>
      <c r="D7" s="1">
        <v>5.9</v>
      </c>
      <c r="E7" s="1">
        <f>B7-C7-D7</f>
        <v>14.200000000000001</v>
      </c>
      <c r="F7" s="1"/>
      <c r="G7" s="1"/>
      <c r="H7" s="1"/>
      <c r="I7" s="1"/>
      <c r="J7" s="3"/>
      <c r="K7" s="1"/>
      <c r="L7" s="1"/>
      <c r="M7" s="1"/>
      <c r="N7" s="1"/>
      <c r="P7">
        <v>21.449125667613892</v>
      </c>
      <c r="Q7">
        <v>2.2938142410645019</v>
      </c>
      <c r="R7">
        <v>7.0380412994979169</v>
      </c>
      <c r="S7">
        <v>12.117270127051469</v>
      </c>
      <c r="U7">
        <v>22.189765953174732</v>
      </c>
      <c r="V7">
        <v>2.4523370428692348</v>
      </c>
      <c r="W7">
        <v>7.3211478849715688</v>
      </c>
      <c r="X7">
        <v>12.41628102533392</v>
      </c>
      <c r="Z7">
        <v>23.905183534282219</v>
      </c>
      <c r="AA7">
        <v>18.225105476775529</v>
      </c>
      <c r="AB7">
        <v>2.8701295958885078</v>
      </c>
      <c r="AC7">
        <v>2.8099484616181769</v>
      </c>
      <c r="AE7">
        <v>20.892690703800881</v>
      </c>
      <c r="AF7">
        <v>2.0693179935343848</v>
      </c>
      <c r="AG7">
        <v>6.9354781168352533</v>
      </c>
      <c r="AH7">
        <v>11.887894593431239</v>
      </c>
      <c r="AJ7">
        <v>40.573639668681039</v>
      </c>
      <c r="AK7">
        <v>3.3589712302641219</v>
      </c>
      <c r="AL7">
        <v>10.9605357119997</v>
      </c>
      <c r="AM7">
        <v>26.254132726417211</v>
      </c>
      <c r="AO7">
        <v>20.575861084686348</v>
      </c>
      <c r="AP7">
        <v>2.0006447416223199</v>
      </c>
      <c r="AQ7">
        <v>6.9356941013301849</v>
      </c>
      <c r="AR7">
        <v>11.63952224173384</v>
      </c>
      <c r="AV7" s="1">
        <v>2013</v>
      </c>
      <c r="AW7">
        <v>1.62874290384873</v>
      </c>
      <c r="AX7">
        <v>1.6538135775149641</v>
      </c>
      <c r="AY7">
        <v>1.756092438119544</v>
      </c>
      <c r="AZ7">
        <v>1.60990758032366</v>
      </c>
      <c r="BA7">
        <v>1.9974754294067529</v>
      </c>
      <c r="BB7">
        <v>1.5991828977166329</v>
      </c>
    </row>
    <row r="8" spans="1:54" x14ac:dyDescent="0.35">
      <c r="A8" s="1">
        <v>2014</v>
      </c>
      <c r="B8" s="1"/>
      <c r="C8" s="1"/>
      <c r="D8" s="1"/>
      <c r="E8" s="1"/>
      <c r="F8" s="1"/>
      <c r="G8" s="1"/>
      <c r="H8" s="1"/>
      <c r="I8" s="1"/>
      <c r="J8" s="3"/>
      <c r="K8" s="1"/>
      <c r="L8" s="1"/>
      <c r="M8" s="1"/>
      <c r="N8" s="1"/>
      <c r="P8">
        <v>22.044575285193659</v>
      </c>
      <c r="Q8">
        <v>2.8077002593754541</v>
      </c>
      <c r="R8">
        <v>7.1315331333733383</v>
      </c>
      <c r="S8">
        <v>12.105341892444869</v>
      </c>
      <c r="U8">
        <v>23.700881837028451</v>
      </c>
      <c r="V8">
        <v>3.291426988211942</v>
      </c>
      <c r="W8">
        <v>7.6021437128810909</v>
      </c>
      <c r="X8">
        <v>12.80731113593542</v>
      </c>
      <c r="Z8">
        <v>28.166989588325791</v>
      </c>
      <c r="AA8">
        <v>22.517954393227392</v>
      </c>
      <c r="AB8">
        <v>2.8690791258449631</v>
      </c>
      <c r="AC8">
        <v>2.779956069253438</v>
      </c>
      <c r="AE8">
        <v>21.065605926949871</v>
      </c>
      <c r="AF8">
        <v>2.328263768006523</v>
      </c>
      <c r="AG8">
        <v>6.9662657248404312</v>
      </c>
      <c r="AH8">
        <v>11.77107643410292</v>
      </c>
      <c r="AJ8">
        <v>53.67669248304378</v>
      </c>
      <c r="AK8">
        <v>4.500518008331186</v>
      </c>
      <c r="AL8">
        <v>12.29751900555118</v>
      </c>
      <c r="AM8">
        <v>36.878655469161409</v>
      </c>
      <c r="AO8">
        <v>20.687181456870888</v>
      </c>
      <c r="AP8">
        <v>2.2061932584604751</v>
      </c>
      <c r="AQ8">
        <v>6.9642825944778526</v>
      </c>
      <c r="AR8">
        <v>11.516705603932561</v>
      </c>
      <c r="AV8" s="1">
        <v>2014</v>
      </c>
      <c r="AW8">
        <v>1.648898873403805</v>
      </c>
      <c r="AX8">
        <v>1.7049648501834129</v>
      </c>
      <c r="AY8">
        <v>1.9636423929514659</v>
      </c>
      <c r="AZ8">
        <v>1.615760760627253</v>
      </c>
      <c r="BA8">
        <v>2.2582261804125712</v>
      </c>
      <c r="BB8">
        <v>1.60295109231508</v>
      </c>
    </row>
    <row r="9" spans="1:54" x14ac:dyDescent="0.35">
      <c r="A9" s="1">
        <v>2015</v>
      </c>
      <c r="B9" s="1">
        <v>22.2</v>
      </c>
      <c r="C9" s="1">
        <f>2.1+2.4</f>
        <v>4.5</v>
      </c>
      <c r="D9" s="1">
        <v>5.0999999999999996</v>
      </c>
      <c r="E9" s="1">
        <f>B9-C9-D9</f>
        <v>12.6</v>
      </c>
      <c r="F9" s="1"/>
      <c r="G9" s="1"/>
      <c r="H9" s="1"/>
      <c r="I9" s="1"/>
      <c r="J9" s="3"/>
      <c r="K9" s="1"/>
      <c r="L9" s="3" t="s">
        <v>61</v>
      </c>
      <c r="M9" s="1"/>
      <c r="N9" s="1"/>
      <c r="P9">
        <v>23.000532477249909</v>
      </c>
      <c r="Q9">
        <v>3.5467599311324518</v>
      </c>
      <c r="R9">
        <v>7.3358642830582292</v>
      </c>
      <c r="S9">
        <v>12.117908263059229</v>
      </c>
      <c r="U9">
        <v>25.904021860128719</v>
      </c>
      <c r="V9">
        <v>4.6186909794913742</v>
      </c>
      <c r="W9">
        <v>7.8901688543530204</v>
      </c>
      <c r="X9">
        <v>13.39516202628433</v>
      </c>
      <c r="Z9">
        <v>33.715690168050173</v>
      </c>
      <c r="AA9">
        <v>28.051594963168618</v>
      </c>
      <c r="AB9">
        <v>2.855207030783955</v>
      </c>
      <c r="AC9">
        <v>2.8088881740975911</v>
      </c>
      <c r="AE9">
        <v>21.404289249960939</v>
      </c>
      <c r="AF9">
        <v>2.6842945729516292</v>
      </c>
      <c r="AG9">
        <v>6.9937055731741307</v>
      </c>
      <c r="AH9">
        <v>11.72628910383518</v>
      </c>
      <c r="AJ9">
        <v>62.943369793521271</v>
      </c>
      <c r="AK9">
        <v>5.2099190819428882</v>
      </c>
      <c r="AL9">
        <v>15.26132696737892</v>
      </c>
      <c r="AM9">
        <v>42.472123744199457</v>
      </c>
      <c r="AO9">
        <v>20.914014263937119</v>
      </c>
      <c r="AP9">
        <v>2.494179130024234</v>
      </c>
      <c r="AQ9">
        <v>7.0088244878195303</v>
      </c>
      <c r="AR9">
        <v>11.41101064609335</v>
      </c>
      <c r="AV9" s="1">
        <v>2015</v>
      </c>
      <c r="AW9">
        <v>1.68125802435491</v>
      </c>
      <c r="AX9">
        <v>1.7795411399653569</v>
      </c>
      <c r="AY9">
        <v>2.2338641111840429</v>
      </c>
      <c r="AZ9">
        <v>1.6272251911111779</v>
      </c>
      <c r="BA9">
        <v>2.4426330588910732</v>
      </c>
      <c r="BB9">
        <v>1.6106293828342719</v>
      </c>
    </row>
    <row r="10" spans="1:54" x14ac:dyDescent="0.35">
      <c r="A10" s="1">
        <v>2016</v>
      </c>
      <c r="B10" s="1"/>
      <c r="C10" s="1"/>
      <c r="D10" s="1"/>
      <c r="E10" s="1"/>
      <c r="F10" s="1"/>
      <c r="G10" s="1"/>
      <c r="H10" s="1"/>
      <c r="I10" s="1"/>
      <c r="J10" s="3"/>
      <c r="K10" s="3" t="s">
        <v>59</v>
      </c>
      <c r="L10" s="1">
        <f>(P16-P5)/11</f>
        <v>1.7490149780638979</v>
      </c>
      <c r="M10" s="1"/>
      <c r="N10" s="1"/>
      <c r="P10">
        <v>24.3123437596645</v>
      </c>
      <c r="Q10">
        <v>4.5980840951792352</v>
      </c>
      <c r="R10">
        <v>7.5653674438800049</v>
      </c>
      <c r="S10">
        <v>12.14889222060526</v>
      </c>
      <c r="U10">
        <v>28.69359905688378</v>
      </c>
      <c r="V10">
        <v>6.6109810481505553</v>
      </c>
      <c r="W10">
        <v>8.1792641008225786</v>
      </c>
      <c r="X10">
        <v>13.903353907910651</v>
      </c>
      <c r="Z10">
        <v>39.678914080938682</v>
      </c>
      <c r="AA10">
        <v>34.102322048936657</v>
      </c>
      <c r="AB10">
        <v>2.8375552070615981</v>
      </c>
      <c r="AC10">
        <v>2.7390368249404311</v>
      </c>
      <c r="AE10">
        <v>21.762224645452282</v>
      </c>
      <c r="AF10">
        <v>3.1558181778243291</v>
      </c>
      <c r="AG10">
        <v>7.046798489019797</v>
      </c>
      <c r="AH10">
        <v>11.559607978608151</v>
      </c>
      <c r="AJ10">
        <v>71.006758212811604</v>
      </c>
      <c r="AK10">
        <v>5.7455213594717804</v>
      </c>
      <c r="AL10">
        <v>16.449958365341669</v>
      </c>
      <c r="AM10">
        <v>48.811278487998152</v>
      </c>
      <c r="AO10">
        <v>21.34382340885637</v>
      </c>
      <c r="AP10">
        <v>2.8633359017751201</v>
      </c>
      <c r="AQ10">
        <v>7.0563803466132464</v>
      </c>
      <c r="AR10">
        <v>11.42410716046801</v>
      </c>
      <c r="AV10" s="1">
        <v>2016</v>
      </c>
      <c r="AW10">
        <v>1.7256628362646429</v>
      </c>
      <c r="AX10">
        <v>1.8739683280755159</v>
      </c>
      <c r="AY10">
        <v>2.524273115741714</v>
      </c>
      <c r="AZ10">
        <v>1.6393413042485601</v>
      </c>
      <c r="BA10">
        <v>2.6030944884349512</v>
      </c>
      <c r="BB10">
        <v>1.625178422389788</v>
      </c>
    </row>
    <row r="11" spans="1:54" x14ac:dyDescent="0.35">
      <c r="A11" s="1">
        <v>2017</v>
      </c>
      <c r="B11" s="1">
        <v>25.7</v>
      </c>
      <c r="C11" s="1">
        <f>4.4+3.8</f>
        <v>8.1999999999999993</v>
      </c>
      <c r="D11" s="1">
        <v>4.3</v>
      </c>
      <c r="E11" s="1">
        <f>B11-C11-D11</f>
        <v>13.2</v>
      </c>
      <c r="F11" s="1"/>
      <c r="G11" s="1"/>
      <c r="H11" s="1"/>
      <c r="I11" s="1"/>
      <c r="J11" s="3"/>
      <c r="K11" s="3" t="s">
        <v>60</v>
      </c>
      <c r="L11" s="1">
        <f>(U16-U5)/11</f>
        <v>3.4548042916864712</v>
      </c>
      <c r="M11" s="1"/>
      <c r="N11" s="1"/>
      <c r="P11">
        <v>25.947503465949811</v>
      </c>
      <c r="Q11">
        <v>6.0123898379171887</v>
      </c>
      <c r="R11">
        <v>7.7866631938942792</v>
      </c>
      <c r="S11">
        <v>12.148450434138351</v>
      </c>
      <c r="U11">
        <v>32.434794120842312</v>
      </c>
      <c r="V11">
        <v>9.459423837252249</v>
      </c>
      <c r="W11">
        <v>8.4583160682776928</v>
      </c>
      <c r="X11">
        <v>14.517054215312371</v>
      </c>
      <c r="Z11">
        <v>45.418054080332851</v>
      </c>
      <c r="AA11">
        <v>39.892984167849697</v>
      </c>
      <c r="AB11">
        <v>2.808053688548982</v>
      </c>
      <c r="AC11">
        <v>2.7170162239341749</v>
      </c>
      <c r="AE11">
        <v>22.2119534512907</v>
      </c>
      <c r="AF11">
        <v>3.7462903345435739</v>
      </c>
      <c r="AG11">
        <v>7.0782438679868243</v>
      </c>
      <c r="AH11">
        <v>11.38741924876031</v>
      </c>
      <c r="AJ11">
        <v>78.317126507990523</v>
      </c>
      <c r="AK11">
        <v>5.9830846689454207</v>
      </c>
      <c r="AL11">
        <v>17.664704252237371</v>
      </c>
      <c r="AM11">
        <v>54.669337586807728</v>
      </c>
      <c r="AO11">
        <v>21.74170611843353</v>
      </c>
      <c r="AP11">
        <v>3.3416826531923349</v>
      </c>
      <c r="AQ11">
        <v>7.0859604049422034</v>
      </c>
      <c r="AR11">
        <v>11.31406306029899</v>
      </c>
      <c r="AV11" s="1">
        <v>2017</v>
      </c>
      <c r="AW11">
        <v>1.781012992322401</v>
      </c>
      <c r="AX11">
        <v>2.0006077809905118</v>
      </c>
      <c r="AY11">
        <v>2.80376923371221</v>
      </c>
      <c r="AZ11">
        <v>1.65456462432619</v>
      </c>
      <c r="BA11">
        <v>2.7485708175090111</v>
      </c>
      <c r="BB11">
        <v>1.6386467521089749</v>
      </c>
    </row>
    <row r="12" spans="1:54" x14ac:dyDescent="0.35">
      <c r="A12" s="1">
        <v>2018</v>
      </c>
      <c r="B12" s="1"/>
      <c r="C12" s="1"/>
      <c r="D12" s="1"/>
      <c r="E12" s="1"/>
      <c r="F12" s="1"/>
      <c r="G12" s="1"/>
      <c r="H12" s="1">
        <f>100-B5-61.1-8.3-1</f>
        <v>9.399999999999995</v>
      </c>
      <c r="I12" s="1"/>
      <c r="J12" s="3"/>
      <c r="K12" s="3" t="s">
        <v>63</v>
      </c>
      <c r="L12" s="1">
        <f>(Z16-Z5)/11</f>
        <v>3.77745485683969</v>
      </c>
      <c r="M12" s="1"/>
      <c r="N12" s="1"/>
      <c r="P12">
        <v>27.83700454997436</v>
      </c>
      <c r="Q12">
        <v>7.8427013528526892</v>
      </c>
      <c r="R12">
        <v>8.0116797677076477</v>
      </c>
      <c r="S12">
        <v>11.982623429414019</v>
      </c>
      <c r="U12">
        <v>36.861013462916112</v>
      </c>
      <c r="V12">
        <v>13.25956303337377</v>
      </c>
      <c r="W12">
        <v>8.7242420689270244</v>
      </c>
      <c r="X12">
        <v>14.87720836061532</v>
      </c>
      <c r="Z12">
        <v>50.391617402478317</v>
      </c>
      <c r="AA12">
        <v>44.962562415470508</v>
      </c>
      <c r="AB12">
        <v>2.7754792997220732</v>
      </c>
      <c r="AC12">
        <v>2.6535756872857461</v>
      </c>
      <c r="AE12">
        <v>22.874220817621509</v>
      </c>
      <c r="AF12">
        <v>4.5070073606562584</v>
      </c>
      <c r="AG12">
        <v>7.1479381375113036</v>
      </c>
      <c r="AH12">
        <v>11.219275319453949</v>
      </c>
      <c r="AJ12">
        <v>71.950669360536722</v>
      </c>
      <c r="AK12">
        <v>5.9023359202711196</v>
      </c>
      <c r="AL12">
        <v>17.093484167998401</v>
      </c>
      <c r="AM12">
        <v>48.954849272267197</v>
      </c>
      <c r="AO12">
        <v>22.293585772898819</v>
      </c>
      <c r="AP12">
        <v>3.9630111402560568</v>
      </c>
      <c r="AQ12">
        <v>7.1276257775104366</v>
      </c>
      <c r="AR12">
        <v>11.20294885513233</v>
      </c>
      <c r="AV12" s="1">
        <v>2018</v>
      </c>
      <c r="AW12">
        <v>1.8449726040166321</v>
      </c>
      <c r="AX12">
        <v>2.1504353057197099</v>
      </c>
      <c r="AY12">
        <v>3.0459817675006939</v>
      </c>
      <c r="AZ12">
        <v>1.676982374676488</v>
      </c>
      <c r="BA12">
        <v>2.6218783202746798</v>
      </c>
      <c r="BB12">
        <v>1.6573278784126251</v>
      </c>
    </row>
    <row r="13" spans="1:54" x14ac:dyDescent="0.35">
      <c r="A13" s="1">
        <v>2019</v>
      </c>
      <c r="B13" s="1">
        <v>28.6</v>
      </c>
      <c r="C13" s="1">
        <f>8.1+4.9</f>
        <v>13</v>
      </c>
      <c r="D13" s="1">
        <v>4.4000000000000004</v>
      </c>
      <c r="E13" s="1">
        <f t="shared" ref="E13:E17" si="0">B13-C13-D13</f>
        <v>11.200000000000001</v>
      </c>
      <c r="F13" s="1"/>
      <c r="G13" s="1"/>
      <c r="H13" s="1"/>
      <c r="I13" s="1"/>
      <c r="J13" s="3"/>
      <c r="K13" s="3" t="s">
        <v>64</v>
      </c>
      <c r="L13" s="1">
        <f>(AE16-AE5)/11</f>
        <v>0.62367417710021078</v>
      </c>
      <c r="M13" s="1"/>
      <c r="N13" s="1"/>
      <c r="P13">
        <v>30.161086072760789</v>
      </c>
      <c r="Q13">
        <v>10.15972410964558</v>
      </c>
      <c r="R13">
        <v>8.1439702708549078</v>
      </c>
      <c r="S13">
        <v>11.8573916922603</v>
      </c>
      <c r="U13">
        <v>42.022983986983583</v>
      </c>
      <c r="V13">
        <v>17.978745707871841</v>
      </c>
      <c r="W13">
        <v>8.9571224418514124</v>
      </c>
      <c r="X13">
        <v>15.087115837260329</v>
      </c>
      <c r="Z13">
        <v>54.527151066801657</v>
      </c>
      <c r="AA13">
        <v>49.223956135478289</v>
      </c>
      <c r="AB13">
        <v>2.730436715051229</v>
      </c>
      <c r="AC13">
        <v>2.572758216272149</v>
      </c>
      <c r="AE13">
        <v>23.692438806771928</v>
      </c>
      <c r="AF13">
        <v>5.424588034953497</v>
      </c>
      <c r="AG13">
        <v>7.1990577404714351</v>
      </c>
      <c r="AH13">
        <v>11.068793031347001</v>
      </c>
      <c r="AJ13">
        <v>71.337607189142773</v>
      </c>
      <c r="AK13">
        <v>6.2422366104354534</v>
      </c>
      <c r="AL13">
        <v>17.080348383715581</v>
      </c>
      <c r="AM13">
        <v>48.015022194991737</v>
      </c>
      <c r="AO13">
        <v>23.023721358024218</v>
      </c>
      <c r="AP13">
        <v>4.7258192889787871</v>
      </c>
      <c r="AQ13">
        <v>7.1649714601799861</v>
      </c>
      <c r="AR13">
        <v>11.13293060886545</v>
      </c>
      <c r="AV13" s="1">
        <v>2019</v>
      </c>
      <c r="AW13">
        <v>1.9236427635629529</v>
      </c>
      <c r="AX13">
        <v>2.325168007959395</v>
      </c>
      <c r="AY13">
        <v>3.24738225695324</v>
      </c>
      <c r="AZ13">
        <v>1.70467905360923</v>
      </c>
      <c r="BA13">
        <v>2.6096783830639412</v>
      </c>
      <c r="BB13">
        <v>1.68204296796912</v>
      </c>
    </row>
    <row r="14" spans="1:54" x14ac:dyDescent="0.35">
      <c r="A14" s="1">
        <v>2020</v>
      </c>
      <c r="B14" s="1">
        <v>33.200000000000003</v>
      </c>
      <c r="C14" s="1">
        <f>8.1+5.6</f>
        <v>13.7</v>
      </c>
      <c r="D14" s="1">
        <v>5.0999999999999996</v>
      </c>
      <c r="E14" s="1">
        <f t="shared" si="0"/>
        <v>14.400000000000004</v>
      </c>
      <c r="F14" s="1"/>
      <c r="G14" s="1"/>
      <c r="H14" s="1"/>
      <c r="I14" s="1"/>
      <c r="J14" s="3"/>
      <c r="K14" s="3" t="s">
        <v>67</v>
      </c>
      <c r="L14" s="1">
        <f>(AJ16-AJ5)/11</f>
        <v>4.9278908394693337</v>
      </c>
      <c r="M14" s="1"/>
      <c r="N14" s="3"/>
      <c r="P14">
        <v>33.220123561900458</v>
      </c>
      <c r="Q14">
        <v>12.958608274636889</v>
      </c>
      <c r="R14">
        <v>8.2710967810778246</v>
      </c>
      <c r="S14">
        <v>11.99041850618574</v>
      </c>
      <c r="U14">
        <v>47.675239314551924</v>
      </c>
      <c r="V14">
        <v>23.356779266689951</v>
      </c>
      <c r="W14">
        <v>9.1627004111206922</v>
      </c>
      <c r="X14">
        <v>15.15575963674126</v>
      </c>
      <c r="Z14">
        <v>57.783362764862282</v>
      </c>
      <c r="AA14">
        <v>52.6111035248543</v>
      </c>
      <c r="AB14">
        <v>2.684000048640355</v>
      </c>
      <c r="AC14">
        <v>2.488259191367626</v>
      </c>
      <c r="AE14">
        <v>24.698533854084069</v>
      </c>
      <c r="AF14">
        <v>6.5241258287558388</v>
      </c>
      <c r="AG14">
        <v>7.2529556894345868</v>
      </c>
      <c r="AH14">
        <v>10.92145233589364</v>
      </c>
      <c r="AJ14">
        <v>73.583600499533432</v>
      </c>
      <c r="AK14">
        <v>6.5347385214387446</v>
      </c>
      <c r="AL14">
        <v>17.6470720634691</v>
      </c>
      <c r="AM14">
        <v>49.401789914625589</v>
      </c>
      <c r="AO14">
        <v>23.85428973329406</v>
      </c>
      <c r="AP14">
        <v>5.6634963387819566</v>
      </c>
      <c r="AQ14">
        <v>7.1890733663192457</v>
      </c>
      <c r="AR14">
        <v>11.00172002819286</v>
      </c>
      <c r="AV14" s="1">
        <v>2020</v>
      </c>
      <c r="AW14">
        <v>2.027191182570331</v>
      </c>
      <c r="AX14">
        <v>2.5164968507975831</v>
      </c>
      <c r="AY14">
        <v>3.4059597666487931</v>
      </c>
      <c r="AZ14">
        <v>1.738735370960746</v>
      </c>
      <c r="BA14">
        <v>2.6543736499407151</v>
      </c>
      <c r="BB14">
        <v>1.710157707472004</v>
      </c>
    </row>
    <row r="15" spans="1:54" x14ac:dyDescent="0.35">
      <c r="A15" s="1">
        <v>2021</v>
      </c>
      <c r="B15" s="1">
        <v>33.4</v>
      </c>
      <c r="C15" s="1">
        <f>11.1+6.9</f>
        <v>18</v>
      </c>
      <c r="D15" s="1">
        <v>4</v>
      </c>
      <c r="E15" s="1">
        <f t="shared" si="0"/>
        <v>11.399999999999999</v>
      </c>
      <c r="F15" s="1"/>
      <c r="G15" s="1"/>
      <c r="H15" s="1"/>
      <c r="I15" s="1"/>
      <c r="J15" s="3"/>
      <c r="K15" s="3" t="s">
        <v>69</v>
      </c>
      <c r="L15" s="1">
        <f>(AO16-AO5)/11</f>
        <v>0.49702069077115529</v>
      </c>
      <c r="M15" s="3"/>
      <c r="N15" s="3"/>
      <c r="P15">
        <v>36.445351302415048</v>
      </c>
      <c r="Q15">
        <v>16.228672432804441</v>
      </c>
      <c r="R15">
        <v>8.3552620117629015</v>
      </c>
      <c r="S15">
        <v>11.861416857847709</v>
      </c>
      <c r="U15">
        <v>53.42232165287345</v>
      </c>
      <c r="V15">
        <v>28.926842676458751</v>
      </c>
      <c r="W15">
        <v>9.301107202465408</v>
      </c>
      <c r="X15">
        <v>15.194371773949291</v>
      </c>
      <c r="Z15">
        <v>60.375520315770338</v>
      </c>
      <c r="AA15">
        <v>55.328316098329317</v>
      </c>
      <c r="AB15">
        <v>2.6339603681548951</v>
      </c>
      <c r="AC15">
        <v>2.4132438492861268</v>
      </c>
      <c r="AE15">
        <v>25.971222490484418</v>
      </c>
      <c r="AF15">
        <v>7.8703571856813213</v>
      </c>
      <c r="AG15">
        <v>7.3038887603309108</v>
      </c>
      <c r="AH15">
        <v>10.796976544472191</v>
      </c>
      <c r="AJ15">
        <v>71.294037226028266</v>
      </c>
      <c r="AK15">
        <v>6.7292031066959552</v>
      </c>
      <c r="AL15">
        <v>17.215063803692331</v>
      </c>
      <c r="AM15">
        <v>47.349770315639987</v>
      </c>
      <c r="AO15">
        <v>24.909472165818539</v>
      </c>
      <c r="AP15">
        <v>6.7779076103036404</v>
      </c>
      <c r="AQ15">
        <v>7.2073731435264063</v>
      </c>
      <c r="AR15">
        <v>10.92419141198849</v>
      </c>
      <c r="AV15" s="1">
        <v>2021</v>
      </c>
      <c r="AW15">
        <v>2.1363651415867499</v>
      </c>
      <c r="AX15">
        <v>2.7963797606738412</v>
      </c>
      <c r="AY15">
        <v>3.5321978393780151</v>
      </c>
      <c r="AZ15">
        <v>1.7818158813028979</v>
      </c>
      <c r="BA15">
        <v>2.5768719331325651</v>
      </c>
      <c r="BB15">
        <v>1.7458756328129581</v>
      </c>
    </row>
    <row r="16" spans="1:54" x14ac:dyDescent="0.35">
      <c r="A16" s="1">
        <v>2022</v>
      </c>
      <c r="B16" s="1">
        <v>34.799999999999997</v>
      </c>
      <c r="C16" s="1">
        <f>11.4+6.1</f>
        <v>17.5</v>
      </c>
      <c r="D16" s="1">
        <v>5.4</v>
      </c>
      <c r="E16" s="1">
        <f t="shared" si="0"/>
        <v>11.899999999999997</v>
      </c>
      <c r="F16" s="1"/>
      <c r="G16" s="1"/>
      <c r="H16" s="1"/>
      <c r="I16" s="1"/>
      <c r="J16" s="1"/>
      <c r="K16" s="1"/>
      <c r="L16" s="1"/>
      <c r="M16" s="1"/>
      <c r="N16" s="1"/>
      <c r="P16">
        <v>39.839164758702879</v>
      </c>
      <c r="Q16">
        <v>19.773567043298812</v>
      </c>
      <c r="R16">
        <v>8.3931672906238735</v>
      </c>
      <c r="S16">
        <v>11.672430424780201</v>
      </c>
      <c r="U16">
        <v>58.602847208551182</v>
      </c>
      <c r="V16">
        <v>34.155522957029781</v>
      </c>
      <c r="W16">
        <v>9.3870690314492595</v>
      </c>
      <c r="X16">
        <v>15.060255220072129</v>
      </c>
      <c r="Z16">
        <v>62.252003425236587</v>
      </c>
      <c r="AA16">
        <v>57.34666175105923</v>
      </c>
      <c r="AB16">
        <v>2.5818393825364319</v>
      </c>
      <c r="AC16">
        <v>2.323502291640926</v>
      </c>
      <c r="AE16">
        <v>27.46041594810232</v>
      </c>
      <c r="AF16">
        <v>9.4350077718476335</v>
      </c>
      <c r="AG16">
        <v>7.3359526403516107</v>
      </c>
      <c r="AH16">
        <v>10.689455535903081</v>
      </c>
      <c r="AJ16">
        <v>74.806799234162668</v>
      </c>
      <c r="AK16">
        <v>7.3559017537019056</v>
      </c>
      <c r="AL16">
        <v>18.20480293425171</v>
      </c>
      <c r="AM16">
        <v>49.246094546209051</v>
      </c>
      <c r="AO16">
        <v>26.06722759848271</v>
      </c>
      <c r="AP16">
        <v>8.0628975454382044</v>
      </c>
      <c r="AQ16">
        <v>7.2382000214397557</v>
      </c>
      <c r="AR16">
        <v>10.766130031604749</v>
      </c>
      <c r="AV16" s="1">
        <v>2022</v>
      </c>
      <c r="AW16">
        <v>2.2512457270820931</v>
      </c>
      <c r="AX16">
        <v>3.048671355235347</v>
      </c>
      <c r="AY16">
        <v>3.6235825668090209</v>
      </c>
      <c r="AZ16">
        <v>1.832225079843264</v>
      </c>
      <c r="BA16">
        <v>2.6957789271079138</v>
      </c>
      <c r="BB16">
        <v>1.7850656542086401</v>
      </c>
    </row>
    <row r="17" spans="1:34" x14ac:dyDescent="0.35">
      <c r="A17" s="1">
        <v>2023</v>
      </c>
      <c r="B17" s="1">
        <v>38.200000000000003</v>
      </c>
      <c r="C17">
        <f>12+5</f>
        <v>17</v>
      </c>
      <c r="D17" s="1">
        <v>6.2</v>
      </c>
      <c r="E17" s="1">
        <f t="shared" si="0"/>
        <v>15.000000000000004</v>
      </c>
    </row>
    <row r="19" spans="1:34" x14ac:dyDescent="0.35">
      <c r="AH19">
        <f>100-38-20.7-5</f>
        <v>36.299999999999997</v>
      </c>
    </row>
    <row r="34" spans="1:83" x14ac:dyDescent="0.35">
      <c r="A34" t="s">
        <v>59</v>
      </c>
      <c r="O34" t="s">
        <v>60</v>
      </c>
      <c r="AC34" t="s">
        <v>63</v>
      </c>
      <c r="AQ34" t="s">
        <v>64</v>
      </c>
      <c r="BE34" t="s">
        <v>67</v>
      </c>
      <c r="BS34" t="s">
        <v>69</v>
      </c>
    </row>
    <row r="35" spans="1:83" x14ac:dyDescent="0.35">
      <c r="A35" s="10" t="s">
        <v>33</v>
      </c>
      <c r="B35" s="10" t="s">
        <v>47</v>
      </c>
      <c r="C35" s="10" t="s">
        <v>48</v>
      </c>
      <c r="D35" s="10" t="s">
        <v>49</v>
      </c>
      <c r="E35" s="10" t="s">
        <v>50</v>
      </c>
      <c r="F35" s="10" t="s">
        <v>51</v>
      </c>
      <c r="G35" s="10" t="s">
        <v>52</v>
      </c>
      <c r="H35" s="10" t="s">
        <v>53</v>
      </c>
      <c r="I35" s="10" t="s">
        <v>54</v>
      </c>
      <c r="J35" s="10" t="s">
        <v>55</v>
      </c>
      <c r="K35" s="10" t="s">
        <v>56</v>
      </c>
      <c r="L35" s="10" t="s">
        <v>57</v>
      </c>
      <c r="M35" s="10" t="s">
        <v>58</v>
      </c>
      <c r="O35" s="10" t="s">
        <v>33</v>
      </c>
      <c r="P35" s="10" t="s">
        <v>47</v>
      </c>
      <c r="Q35" s="10" t="s">
        <v>48</v>
      </c>
      <c r="R35" s="10" t="s">
        <v>49</v>
      </c>
      <c r="S35" s="10" t="s">
        <v>50</v>
      </c>
      <c r="T35" s="10" t="s">
        <v>51</v>
      </c>
      <c r="U35" s="10" t="s">
        <v>52</v>
      </c>
      <c r="V35" s="10" t="s">
        <v>53</v>
      </c>
      <c r="W35" s="10" t="s">
        <v>54</v>
      </c>
      <c r="X35" s="10" t="s">
        <v>55</v>
      </c>
      <c r="Y35" s="10" t="s">
        <v>56</v>
      </c>
      <c r="Z35" s="10" t="s">
        <v>57</v>
      </c>
      <c r="AA35" s="10" t="s">
        <v>58</v>
      </c>
      <c r="AC35" s="10" t="s">
        <v>33</v>
      </c>
      <c r="AD35" s="10" t="s">
        <v>47</v>
      </c>
      <c r="AE35" s="10" t="s">
        <v>48</v>
      </c>
      <c r="AF35" s="10" t="s">
        <v>49</v>
      </c>
      <c r="AG35" s="10" t="s">
        <v>50</v>
      </c>
      <c r="AH35" s="10" t="s">
        <v>51</v>
      </c>
      <c r="AI35" s="10" t="s">
        <v>52</v>
      </c>
      <c r="AJ35" s="10" t="s">
        <v>53</v>
      </c>
      <c r="AK35" s="10" t="s">
        <v>54</v>
      </c>
      <c r="AL35" s="10" t="s">
        <v>55</v>
      </c>
      <c r="AM35" s="10" t="s">
        <v>56</v>
      </c>
      <c r="AN35" s="10" t="s">
        <v>57</v>
      </c>
      <c r="AO35" s="10" t="s">
        <v>58</v>
      </c>
      <c r="AQ35" s="10" t="s">
        <v>33</v>
      </c>
      <c r="AR35" s="10" t="s">
        <v>47</v>
      </c>
      <c r="AS35" s="10" t="s">
        <v>48</v>
      </c>
      <c r="AT35" s="10" t="s">
        <v>49</v>
      </c>
      <c r="AU35" s="10" t="s">
        <v>50</v>
      </c>
      <c r="AV35" s="10" t="s">
        <v>51</v>
      </c>
      <c r="AW35" s="10" t="s">
        <v>52</v>
      </c>
      <c r="AX35" s="10" t="s">
        <v>53</v>
      </c>
      <c r="AY35" s="10" t="s">
        <v>54</v>
      </c>
      <c r="AZ35" s="10" t="s">
        <v>55</v>
      </c>
      <c r="BA35" s="10" t="s">
        <v>56</v>
      </c>
      <c r="BB35" s="10" t="s">
        <v>57</v>
      </c>
      <c r="BC35" s="10" t="s">
        <v>58</v>
      </c>
      <c r="BE35" s="10" t="s">
        <v>33</v>
      </c>
      <c r="BF35" s="10" t="s">
        <v>47</v>
      </c>
      <c r="BG35" s="10" t="s">
        <v>48</v>
      </c>
      <c r="BH35" s="10" t="s">
        <v>49</v>
      </c>
      <c r="BI35" s="10" t="s">
        <v>50</v>
      </c>
      <c r="BJ35" s="10" t="s">
        <v>51</v>
      </c>
      <c r="BK35" s="10" t="s">
        <v>52</v>
      </c>
      <c r="BL35" s="10" t="s">
        <v>53</v>
      </c>
      <c r="BM35" s="10" t="s">
        <v>54</v>
      </c>
      <c r="BN35" s="10" t="s">
        <v>55</v>
      </c>
      <c r="BO35" s="10" t="s">
        <v>56</v>
      </c>
      <c r="BP35" s="10" t="s">
        <v>57</v>
      </c>
      <c r="BQ35" s="10" t="s">
        <v>58</v>
      </c>
      <c r="BS35" s="10" t="s">
        <v>33</v>
      </c>
      <c r="BT35" s="10" t="s">
        <v>47</v>
      </c>
      <c r="BU35" s="10" t="s">
        <v>48</v>
      </c>
      <c r="BV35" s="10" t="s">
        <v>49</v>
      </c>
      <c r="BW35" s="10" t="s">
        <v>50</v>
      </c>
      <c r="BX35" s="10" t="s">
        <v>51</v>
      </c>
      <c r="BY35" s="10" t="s">
        <v>52</v>
      </c>
      <c r="BZ35" s="10" t="s">
        <v>53</v>
      </c>
      <c r="CA35" s="10" t="s">
        <v>54</v>
      </c>
      <c r="CB35" s="10" t="s">
        <v>55</v>
      </c>
      <c r="CC35" s="10" t="s">
        <v>56</v>
      </c>
      <c r="CD35" s="10" t="s">
        <v>57</v>
      </c>
      <c r="CE35" s="10" t="s">
        <v>58</v>
      </c>
    </row>
    <row r="36" spans="1:83" x14ac:dyDescent="0.35">
      <c r="A36">
        <v>0</v>
      </c>
      <c r="B36">
        <v>79.300000000000011</v>
      </c>
      <c r="C36">
        <v>71.900000000000006</v>
      </c>
      <c r="D36">
        <v>0</v>
      </c>
      <c r="E36">
        <v>1</v>
      </c>
      <c r="F36">
        <v>8.5</v>
      </c>
      <c r="G36">
        <v>62.4</v>
      </c>
      <c r="H36">
        <v>3.5</v>
      </c>
      <c r="I36">
        <v>1</v>
      </c>
      <c r="J36">
        <v>2.9</v>
      </c>
      <c r="K36">
        <v>20.6</v>
      </c>
      <c r="L36">
        <v>7.4</v>
      </c>
      <c r="M36">
        <v>99.9</v>
      </c>
      <c r="O36">
        <v>0</v>
      </c>
      <c r="P36">
        <v>79.300000000000011</v>
      </c>
      <c r="Q36">
        <v>71.900000000000006</v>
      </c>
      <c r="R36">
        <v>0</v>
      </c>
      <c r="S36">
        <v>1</v>
      </c>
      <c r="T36">
        <v>8.5</v>
      </c>
      <c r="U36">
        <v>62.4</v>
      </c>
      <c r="V36">
        <v>3.5</v>
      </c>
      <c r="W36">
        <v>1</v>
      </c>
      <c r="X36">
        <v>2.9</v>
      </c>
      <c r="Y36">
        <v>20.6</v>
      </c>
      <c r="Z36">
        <v>7.4</v>
      </c>
      <c r="AA36">
        <v>99.9</v>
      </c>
      <c r="AC36">
        <v>0</v>
      </c>
      <c r="AD36">
        <v>79.300000000000011</v>
      </c>
      <c r="AE36">
        <v>71.900000000000006</v>
      </c>
      <c r="AF36">
        <v>0</v>
      </c>
      <c r="AG36">
        <v>1</v>
      </c>
      <c r="AH36">
        <v>8.5</v>
      </c>
      <c r="AI36">
        <v>62.4</v>
      </c>
      <c r="AJ36">
        <v>3.5</v>
      </c>
      <c r="AK36">
        <v>1</v>
      </c>
      <c r="AL36">
        <v>2.9</v>
      </c>
      <c r="AM36">
        <v>20.7</v>
      </c>
      <c r="AN36">
        <v>7.4</v>
      </c>
      <c r="AO36">
        <v>100</v>
      </c>
      <c r="AQ36">
        <v>0</v>
      </c>
      <c r="AR36">
        <v>78</v>
      </c>
      <c r="AS36">
        <v>50</v>
      </c>
      <c r="AT36">
        <v>0</v>
      </c>
      <c r="AU36">
        <v>1</v>
      </c>
      <c r="AV36">
        <v>1</v>
      </c>
      <c r="AW36">
        <v>48</v>
      </c>
      <c r="AX36">
        <v>13.5</v>
      </c>
      <c r="AY36">
        <v>1</v>
      </c>
      <c r="AZ36">
        <v>13.5</v>
      </c>
      <c r="BA36">
        <v>20.6</v>
      </c>
      <c r="BB36">
        <v>28</v>
      </c>
      <c r="BC36">
        <v>98.6</v>
      </c>
      <c r="BE36">
        <v>0</v>
      </c>
      <c r="BF36">
        <v>79.300000000000011</v>
      </c>
      <c r="BG36">
        <v>71.900000000000006</v>
      </c>
      <c r="BH36">
        <v>0</v>
      </c>
      <c r="BI36">
        <v>1</v>
      </c>
      <c r="BJ36">
        <v>8.5</v>
      </c>
      <c r="BK36">
        <v>62.4</v>
      </c>
      <c r="BL36">
        <v>3.5</v>
      </c>
      <c r="BM36">
        <v>1</v>
      </c>
      <c r="BN36">
        <v>2.9</v>
      </c>
      <c r="BO36">
        <v>20.6</v>
      </c>
      <c r="BP36">
        <v>7.4</v>
      </c>
      <c r="BQ36">
        <v>99.9</v>
      </c>
      <c r="BS36">
        <v>0</v>
      </c>
      <c r="BT36">
        <v>70.8</v>
      </c>
      <c r="BU36">
        <v>42.8</v>
      </c>
      <c r="BV36">
        <v>0</v>
      </c>
      <c r="BW36">
        <v>1</v>
      </c>
      <c r="BX36">
        <v>1</v>
      </c>
      <c r="BY36">
        <v>40.799999999999997</v>
      </c>
      <c r="BZ36">
        <v>13.5</v>
      </c>
      <c r="CA36">
        <v>1</v>
      </c>
      <c r="CB36">
        <v>13.5</v>
      </c>
      <c r="CC36">
        <v>20.6</v>
      </c>
      <c r="CD36">
        <v>28</v>
      </c>
      <c r="CE36">
        <v>91.4</v>
      </c>
    </row>
    <row r="37" spans="1:83" x14ac:dyDescent="0.35">
      <c r="A37">
        <v>1</v>
      </c>
      <c r="B37">
        <v>79.001516163589471</v>
      </c>
      <c r="C37">
        <v>71.640405052478371</v>
      </c>
      <c r="D37">
        <v>0</v>
      </c>
      <c r="E37">
        <v>1.134438506134392</v>
      </c>
      <c r="F37">
        <v>8.5137702501914934</v>
      </c>
      <c r="G37">
        <v>62.108255861022201</v>
      </c>
      <c r="H37">
        <v>3.505670103020027</v>
      </c>
      <c r="I37">
        <v>0.83468335786191117</v>
      </c>
      <c r="J37">
        <v>2.9046980853594508</v>
      </c>
      <c r="K37">
        <v>20.998483836410511</v>
      </c>
      <c r="L37">
        <v>7.2333333333333334</v>
      </c>
      <c r="M37">
        <v>99.87222222222222</v>
      </c>
      <c r="O37">
        <v>1</v>
      </c>
      <c r="P37">
        <v>78.785030977326016</v>
      </c>
      <c r="Q37">
        <v>71.423919866214902</v>
      </c>
      <c r="R37">
        <v>0</v>
      </c>
      <c r="S37">
        <v>1.131023416312551</v>
      </c>
      <c r="T37">
        <v>8.5138081494958353</v>
      </c>
      <c r="U37">
        <v>61.895115613711368</v>
      </c>
      <c r="V37">
        <v>3.5056857086159319</v>
      </c>
      <c r="W37">
        <v>0.83468707347998383</v>
      </c>
      <c r="X37">
        <v>2.904711015710344</v>
      </c>
      <c r="Y37">
        <v>21.21496902267398</v>
      </c>
      <c r="Z37">
        <v>7.2333333333333334</v>
      </c>
      <c r="AA37">
        <v>99.87222222222222</v>
      </c>
      <c r="AC37">
        <v>1</v>
      </c>
      <c r="AD37">
        <v>78.685619204794008</v>
      </c>
      <c r="AE37">
        <v>71.424508093682874</v>
      </c>
      <c r="AF37">
        <v>0</v>
      </c>
      <c r="AG37">
        <v>1.139713746637085</v>
      </c>
      <c r="AH37">
        <v>8.5030017491813616</v>
      </c>
      <c r="AI37">
        <v>61.807015945946702</v>
      </c>
      <c r="AJ37">
        <v>3.5012360143687959</v>
      </c>
      <c r="AK37">
        <v>0.83362762246876099</v>
      </c>
      <c r="AL37">
        <v>2.9010241261912881</v>
      </c>
      <c r="AM37">
        <v>21.314380795206009</v>
      </c>
      <c r="AN37">
        <v>7.2333333333333334</v>
      </c>
      <c r="AO37">
        <v>99.972222222222229</v>
      </c>
      <c r="AQ37">
        <v>1</v>
      </c>
      <c r="AR37">
        <v>79.242702122091799</v>
      </c>
      <c r="AS37">
        <v>49.981591010980686</v>
      </c>
      <c r="AT37">
        <v>0</v>
      </c>
      <c r="AU37">
        <v>1.156516592629816</v>
      </c>
      <c r="AV37">
        <v>1.018348379694622</v>
      </c>
      <c r="AW37">
        <v>48.723807248267043</v>
      </c>
      <c r="AX37">
        <v>13.747703125877401</v>
      </c>
      <c r="AY37">
        <v>0.84862364974551852</v>
      </c>
      <c r="AZ37">
        <v>13.747703125877401</v>
      </c>
      <c r="BA37">
        <v>20.757297877908201</v>
      </c>
      <c r="BB37">
        <v>27.833333333333339</v>
      </c>
      <c r="BC37">
        <v>98.572222222222223</v>
      </c>
      <c r="BE37">
        <v>1</v>
      </c>
      <c r="BF37">
        <v>70.666772678845334</v>
      </c>
      <c r="BG37">
        <v>63.305661567734226</v>
      </c>
      <c r="BH37">
        <v>0</v>
      </c>
      <c r="BI37">
        <v>1.002954339232085</v>
      </c>
      <c r="BJ37">
        <v>8.5153973148133808</v>
      </c>
      <c r="BK37">
        <v>53.90198487846849</v>
      </c>
      <c r="BL37">
        <v>3.5063400708055101</v>
      </c>
      <c r="BM37">
        <v>0.83484287400131185</v>
      </c>
      <c r="BN37">
        <v>2.9052532015245651</v>
      </c>
      <c r="BO37">
        <v>29.33322732115467</v>
      </c>
      <c r="BP37">
        <v>7.2333333333333334</v>
      </c>
      <c r="BQ37">
        <v>99.87222222222222</v>
      </c>
      <c r="BS37">
        <v>1</v>
      </c>
      <c r="BT37">
        <v>79.432464135845663</v>
      </c>
      <c r="BU37">
        <v>42.971353024734547</v>
      </c>
      <c r="BV37">
        <v>0</v>
      </c>
      <c r="BW37">
        <v>1.424354748326925</v>
      </c>
      <c r="BX37">
        <v>1.121853202401689</v>
      </c>
      <c r="BY37">
        <v>45.661342051603363</v>
      </c>
      <c r="BZ37">
        <v>15.14501823242281</v>
      </c>
      <c r="CA37">
        <v>0.93487766866807454</v>
      </c>
      <c r="CB37">
        <v>15.14501823242281</v>
      </c>
      <c r="CC37">
        <v>20.56753586415433</v>
      </c>
      <c r="CD37">
        <v>27.833333333333339</v>
      </c>
      <c r="CE37">
        <v>91.37222222222222</v>
      </c>
    </row>
    <row r="38" spans="1:83" x14ac:dyDescent="0.35">
      <c r="A38">
        <v>2</v>
      </c>
      <c r="B38">
        <v>78.550874332386115</v>
      </c>
      <c r="C38">
        <v>71.421751030292199</v>
      </c>
      <c r="D38">
        <v>0</v>
      </c>
      <c r="E38">
        <v>1.2426499904873189</v>
      </c>
      <c r="F38">
        <v>8.5162839786679729</v>
      </c>
      <c r="G38">
        <v>61.683904650316443</v>
      </c>
      <c r="H38">
        <v>3.5067051676868131</v>
      </c>
      <c r="I38">
        <v>0.69577483485849467</v>
      </c>
      <c r="J38">
        <v>2.905555710369073</v>
      </c>
      <c r="K38">
        <v>21.449125667613892</v>
      </c>
      <c r="L38">
        <v>7.1059376532644034</v>
      </c>
      <c r="M38">
        <v>99.976814351170489</v>
      </c>
      <c r="O38">
        <v>2</v>
      </c>
      <c r="P38">
        <v>77.810234046825244</v>
      </c>
      <c r="Q38">
        <v>70.681079009224575</v>
      </c>
      <c r="R38">
        <v>0</v>
      </c>
      <c r="S38">
        <v>1.2298256074986309</v>
      </c>
      <c r="T38">
        <v>8.5163458347404486</v>
      </c>
      <c r="U38">
        <v>60.95597526408713</v>
      </c>
      <c r="V38">
        <v>3.5067306378343019</v>
      </c>
      <c r="W38">
        <v>0.69577988845918703</v>
      </c>
      <c r="X38">
        <v>2.9055768142055651</v>
      </c>
      <c r="Y38">
        <v>22.189765953174732</v>
      </c>
      <c r="Z38">
        <v>7.1059692855595964</v>
      </c>
      <c r="AA38">
        <v>99.976814247958899</v>
      </c>
      <c r="AC38">
        <v>2</v>
      </c>
      <c r="AD38">
        <v>76.09481646571777</v>
      </c>
      <c r="AE38">
        <v>68.974710316920721</v>
      </c>
      <c r="AF38">
        <v>0</v>
      </c>
      <c r="AG38">
        <v>1.238200347199764</v>
      </c>
      <c r="AH38">
        <v>8.5055900751531794</v>
      </c>
      <c r="AI38">
        <v>59.251915895671623</v>
      </c>
      <c r="AJ38">
        <v>3.5023017956513089</v>
      </c>
      <c r="AK38">
        <v>0.69490114993081531</v>
      </c>
      <c r="AL38">
        <v>2.9019072021110839</v>
      </c>
      <c r="AM38">
        <v>23.905183534282219</v>
      </c>
      <c r="AN38">
        <v>7.096949825950718</v>
      </c>
      <c r="AO38">
        <v>99.976843677153653</v>
      </c>
      <c r="AQ38">
        <v>2</v>
      </c>
      <c r="AR38">
        <v>79.107309296199134</v>
      </c>
      <c r="AS38">
        <v>50.881143790496793</v>
      </c>
      <c r="AT38">
        <v>0</v>
      </c>
      <c r="AU38">
        <v>1.340352480465977</v>
      </c>
      <c r="AV38">
        <v>1.018651923816138</v>
      </c>
      <c r="AW38">
        <v>48.537305779564512</v>
      </c>
      <c r="AX38">
        <v>13.75180097151787</v>
      </c>
      <c r="AY38">
        <v>0.70739716931676278</v>
      </c>
      <c r="AZ38">
        <v>13.75180097151787</v>
      </c>
      <c r="BA38">
        <v>20.892690703800881</v>
      </c>
      <c r="BB38">
        <v>28.202592626542732</v>
      </c>
      <c r="BC38">
        <v>99.976427120840398</v>
      </c>
      <c r="BE38">
        <v>2</v>
      </c>
      <c r="BF38">
        <v>59.426360331318961</v>
      </c>
      <c r="BG38">
        <v>52.295874584154433</v>
      </c>
      <c r="BH38">
        <v>0</v>
      </c>
      <c r="BI38">
        <v>0.91393158120395168</v>
      </c>
      <c r="BJ38">
        <v>8.5187215943544778</v>
      </c>
      <c r="BK38">
        <v>42.883636910014999</v>
      </c>
      <c r="BL38">
        <v>3.5077088917930208</v>
      </c>
      <c r="BM38">
        <v>0.69597398646686914</v>
      </c>
      <c r="BN38">
        <v>2.9063873674856451</v>
      </c>
      <c r="BO38">
        <v>40.573639668681039</v>
      </c>
      <c r="BP38">
        <v>7.1072956673311669</v>
      </c>
      <c r="BQ38">
        <v>99.97680992016663</v>
      </c>
      <c r="BS38">
        <v>2</v>
      </c>
      <c r="BT38">
        <v>79.424138915313648</v>
      </c>
      <c r="BU38">
        <v>48.329068902448313</v>
      </c>
      <c r="BV38">
        <v>0</v>
      </c>
      <c r="BW38">
        <v>1.677957449501148</v>
      </c>
      <c r="BX38">
        <v>1.122220127841898</v>
      </c>
      <c r="BY38">
        <v>45.544698353015811</v>
      </c>
      <c r="BZ38">
        <v>15.149971725865621</v>
      </c>
      <c r="CA38">
        <v>0.77931953322354031</v>
      </c>
      <c r="CB38">
        <v>15.149971725865621</v>
      </c>
      <c r="CC38">
        <v>20.575861084686348</v>
      </c>
      <c r="CD38">
        <v>31.069101188735679</v>
      </c>
      <c r="CE38">
        <v>99.974031175870337</v>
      </c>
    </row>
    <row r="39" spans="1:83" x14ac:dyDescent="0.35">
      <c r="A39">
        <v>3</v>
      </c>
      <c r="B39">
        <v>77.955424714806327</v>
      </c>
      <c r="C39">
        <v>70.944024395622307</v>
      </c>
      <c r="D39">
        <v>0</v>
      </c>
      <c r="E39">
        <v>1.3395514568449729</v>
      </c>
      <c r="F39">
        <v>8.5183958997940259</v>
      </c>
      <c r="G39">
        <v>61.103670179872402</v>
      </c>
      <c r="H39">
        <v>3.5075747822681289</v>
      </c>
      <c r="I39">
        <v>0.57995614786179384</v>
      </c>
      <c r="J39">
        <v>2.9062762481650211</v>
      </c>
      <c r="K39">
        <v>22.044575285193659</v>
      </c>
      <c r="L39">
        <v>6.9920732404379651</v>
      </c>
      <c r="M39">
        <v>99.980672921253927</v>
      </c>
      <c r="O39">
        <v>3</v>
      </c>
      <c r="P39">
        <v>76.299118162971553</v>
      </c>
      <c r="Q39">
        <v>69.287666918091816</v>
      </c>
      <c r="R39">
        <v>0</v>
      </c>
      <c r="S39">
        <v>1.296905439847122</v>
      </c>
      <c r="T39">
        <v>8.5185036445619779</v>
      </c>
      <c r="U39">
        <v>59.4898134392309</v>
      </c>
      <c r="V39">
        <v>3.5076191477608138</v>
      </c>
      <c r="W39">
        <v>0.57996348342606052</v>
      </c>
      <c r="X39">
        <v>2.9063130081446751</v>
      </c>
      <c r="Y39">
        <v>23.700881837028451</v>
      </c>
      <c r="Z39">
        <v>6.9921240257558566</v>
      </c>
      <c r="AA39">
        <v>99.98067278087612</v>
      </c>
      <c r="AC39">
        <v>3</v>
      </c>
      <c r="AD39">
        <v>71.833010411674209</v>
      </c>
      <c r="AE39">
        <v>64.830414312582491</v>
      </c>
      <c r="AF39">
        <v>0</v>
      </c>
      <c r="AG39">
        <v>1.2782284181902679</v>
      </c>
      <c r="AH39">
        <v>8.5078762930948812</v>
      </c>
      <c r="AI39">
        <v>55.061735371297978</v>
      </c>
      <c r="AJ39">
        <v>3.5032431795096568</v>
      </c>
      <c r="AK39">
        <v>0.5792399437019935</v>
      </c>
      <c r="AL39">
        <v>2.9026872058794302</v>
      </c>
      <c r="AM39">
        <v>28.166989588325791</v>
      </c>
      <c r="AN39">
        <v>6.9832932893714066</v>
      </c>
      <c r="AO39">
        <v>99.980697190279685</v>
      </c>
      <c r="AQ39">
        <v>3</v>
      </c>
      <c r="AR39">
        <v>78.934394073050115</v>
      </c>
      <c r="AS39">
        <v>50.821644567547182</v>
      </c>
      <c r="AT39">
        <v>0</v>
      </c>
      <c r="AU39">
        <v>1.5480196624411391</v>
      </c>
      <c r="AV39">
        <v>1.0189055700823899</v>
      </c>
      <c r="AW39">
        <v>48.267374021171051</v>
      </c>
      <c r="AX39">
        <v>13.755225196112271</v>
      </c>
      <c r="AY39">
        <v>0.58964442713101284</v>
      </c>
      <c r="AZ39">
        <v>13.755225196112271</v>
      </c>
      <c r="BA39">
        <v>21.065605926949871</v>
      </c>
      <c r="BB39">
        <v>28.093099584133039</v>
      </c>
      <c r="BC39">
        <v>99.980350078630096</v>
      </c>
      <c r="BE39">
        <v>3</v>
      </c>
      <c r="BF39">
        <v>46.323307516956227</v>
      </c>
      <c r="BG39">
        <v>39.309900324886648</v>
      </c>
      <c r="BH39">
        <v>0</v>
      </c>
      <c r="BI39">
        <v>0.73747870236035828</v>
      </c>
      <c r="BJ39">
        <v>8.5222782896247793</v>
      </c>
      <c r="BK39">
        <v>30.066555811583079</v>
      </c>
      <c r="BL39">
        <v>3.50917341337491</v>
      </c>
      <c r="BM39">
        <v>0.58022047178817948</v>
      </c>
      <c r="BN39">
        <v>2.9076008282249242</v>
      </c>
      <c r="BO39">
        <v>53.67669248304378</v>
      </c>
      <c r="BP39">
        <v>6.9940745813343899</v>
      </c>
      <c r="BQ39">
        <v>99.980667389264823</v>
      </c>
      <c r="BS39">
        <v>3</v>
      </c>
      <c r="BT39">
        <v>79.312818543129112</v>
      </c>
      <c r="BU39">
        <v>48.34179438223314</v>
      </c>
      <c r="BV39">
        <v>0</v>
      </c>
      <c r="BW39">
        <v>1.901212266515605</v>
      </c>
      <c r="BX39">
        <v>1.122526511984749</v>
      </c>
      <c r="BY39">
        <v>45.331253691049362</v>
      </c>
      <c r="BZ39">
        <v>15.15410791179411</v>
      </c>
      <c r="CA39">
        <v>0.64961024999117423</v>
      </c>
      <c r="CB39">
        <v>15.15410791179411</v>
      </c>
      <c r="CC39">
        <v>20.687181456870888</v>
      </c>
      <c r="CD39">
        <v>30.949376396084201</v>
      </c>
      <c r="CE39">
        <v>99.978352235188225</v>
      </c>
    </row>
    <row r="40" spans="1:83" x14ac:dyDescent="0.35">
      <c r="A40">
        <v>4</v>
      </c>
      <c r="B40">
        <v>76.999467522750066</v>
      </c>
      <c r="C40">
        <v>70.086209809435957</v>
      </c>
      <c r="D40">
        <v>0</v>
      </c>
      <c r="E40">
        <v>1.399886315513726</v>
      </c>
      <c r="F40">
        <v>8.520178498665647</v>
      </c>
      <c r="G40">
        <v>60.180811559242592</v>
      </c>
      <c r="H40">
        <v>3.508308793568208</v>
      </c>
      <c r="I40">
        <v>0.48339792680337967</v>
      </c>
      <c r="J40">
        <v>2.906884428956515</v>
      </c>
      <c r="K40">
        <v>23.000532477249909</v>
      </c>
      <c r="L40">
        <v>6.8971478203179784</v>
      </c>
      <c r="M40">
        <v>99.983890107003845</v>
      </c>
      <c r="O40">
        <v>4</v>
      </c>
      <c r="P40">
        <v>74.095978139871264</v>
      </c>
      <c r="Q40">
        <v>67.182632984348913</v>
      </c>
      <c r="R40">
        <v>0</v>
      </c>
      <c r="S40">
        <v>1.3307405099437231</v>
      </c>
      <c r="T40">
        <v>8.5203561575537652</v>
      </c>
      <c r="U40">
        <v>57.346146476759657</v>
      </c>
      <c r="V40">
        <v>3.50838194722802</v>
      </c>
      <c r="W40">
        <v>0.48340800639715897</v>
      </c>
      <c r="X40">
        <v>2.9069450419889309</v>
      </c>
      <c r="Y40">
        <v>25.904021860128719</v>
      </c>
      <c r="Z40">
        <v>6.8972350587605389</v>
      </c>
      <c r="AA40">
        <v>99.983889903238179</v>
      </c>
      <c r="AC40">
        <v>4</v>
      </c>
      <c r="AD40">
        <v>66.284309831949841</v>
      </c>
      <c r="AE40">
        <v>59.379589495039603</v>
      </c>
      <c r="AF40">
        <v>0</v>
      </c>
      <c r="AG40">
        <v>1.2466430031345861</v>
      </c>
      <c r="AH40">
        <v>8.509942015044178</v>
      </c>
      <c r="AI40">
        <v>49.637421908089777</v>
      </c>
      <c r="AJ40">
        <v>3.504093770900544</v>
      </c>
      <c r="AK40">
        <v>0.48281715317743379</v>
      </c>
      <c r="AL40">
        <v>2.9033919816033071</v>
      </c>
      <c r="AM40">
        <v>33.715690168050173</v>
      </c>
      <c r="AN40">
        <v>6.8886303384740817</v>
      </c>
      <c r="AO40">
        <v>99.983910001563856</v>
      </c>
      <c r="AQ40">
        <v>4</v>
      </c>
      <c r="AR40">
        <v>78.595710750039061</v>
      </c>
      <c r="AS40">
        <v>50.577510990007262</v>
      </c>
      <c r="AT40">
        <v>0</v>
      </c>
      <c r="AU40">
        <v>1.663132242643294</v>
      </c>
      <c r="AV40">
        <v>1.019117949929002</v>
      </c>
      <c r="AW40">
        <v>47.905803132604667</v>
      </c>
      <c r="AX40">
        <v>13.758092324041529</v>
      </c>
      <c r="AY40">
        <v>0.49147277677903278</v>
      </c>
      <c r="AZ40">
        <v>13.758092324041529</v>
      </c>
      <c r="BA40">
        <v>21.404289249960939</v>
      </c>
      <c r="BB40">
        <v>28.001820748167049</v>
      </c>
      <c r="BC40">
        <v>99.983620988135243</v>
      </c>
      <c r="BE40">
        <v>4</v>
      </c>
      <c r="BF40">
        <v>37.056630206478729</v>
      </c>
      <c r="BG40">
        <v>30.140221669727971</v>
      </c>
      <c r="BH40">
        <v>0</v>
      </c>
      <c r="BI40">
        <v>0.59647099072679732</v>
      </c>
      <c r="BJ40">
        <v>8.5259865418519247</v>
      </c>
      <c r="BK40">
        <v>21.03087888655487</v>
      </c>
      <c r="BL40">
        <v>3.5107003407625572</v>
      </c>
      <c r="BM40">
        <v>0.48372744995074918</v>
      </c>
      <c r="BN40">
        <v>2.9088659966318322</v>
      </c>
      <c r="BO40">
        <v>62.943369793521271</v>
      </c>
      <c r="BP40">
        <v>6.9002913014233167</v>
      </c>
      <c r="BQ40">
        <v>99.983882764672558</v>
      </c>
      <c r="BS40">
        <v>4</v>
      </c>
      <c r="BT40">
        <v>79.085985736062881</v>
      </c>
      <c r="BU40">
        <v>48.218383308315587</v>
      </c>
      <c r="BV40">
        <v>0</v>
      </c>
      <c r="BW40">
        <v>2.084221433187845</v>
      </c>
      <c r="BX40">
        <v>1.122782692765897</v>
      </c>
      <c r="BY40">
        <v>45.022383486464904</v>
      </c>
      <c r="BZ40">
        <v>15.157566352339609</v>
      </c>
      <c r="CA40">
        <v>0.54146541896503508</v>
      </c>
      <c r="CB40">
        <v>15.157566352339609</v>
      </c>
      <c r="CC40">
        <v>20.914014263937119</v>
      </c>
      <c r="CD40">
        <v>30.84955769858087</v>
      </c>
      <c r="CE40">
        <v>99.981955270833581</v>
      </c>
    </row>
    <row r="41" spans="1:83" x14ac:dyDescent="0.35">
      <c r="A41">
        <v>5</v>
      </c>
      <c r="B41">
        <v>75.687656240335514</v>
      </c>
      <c r="C41">
        <v>68.856203691952288</v>
      </c>
      <c r="D41">
        <v>0</v>
      </c>
      <c r="E41">
        <v>1.437459119532488</v>
      </c>
      <c r="F41">
        <v>8.5216903287176713</v>
      </c>
      <c r="G41">
        <v>58.909272165900127</v>
      </c>
      <c r="H41">
        <v>3.5089313118249241</v>
      </c>
      <c r="I41">
        <v>0.40290308456249591</v>
      </c>
      <c r="J41">
        <v>2.9074002297977941</v>
      </c>
      <c r="K41">
        <v>24.3123437596645</v>
      </c>
      <c r="L41">
        <v>6.8180248281942069</v>
      </c>
      <c r="M41">
        <v>99.986572279811</v>
      </c>
      <c r="O41">
        <v>5</v>
      </c>
      <c r="P41">
        <v>71.306400943116202</v>
      </c>
      <c r="Q41">
        <v>64.474805948390596</v>
      </c>
      <c r="R41">
        <v>0</v>
      </c>
      <c r="S41">
        <v>1.334866712471372</v>
      </c>
      <c r="T41">
        <v>8.5219609628981754</v>
      </c>
      <c r="U41">
        <v>54.630122074436443</v>
      </c>
      <c r="V41">
        <v>3.50904274942866</v>
      </c>
      <c r="W41">
        <v>0.40291588006924473</v>
      </c>
      <c r="X41">
        <v>2.9074925638123181</v>
      </c>
      <c r="Y41">
        <v>28.69359905688378</v>
      </c>
      <c r="Z41">
        <v>6.8181669945479184</v>
      </c>
      <c r="AA41">
        <v>99.986571999822303</v>
      </c>
      <c r="AC41">
        <v>5</v>
      </c>
      <c r="AD41">
        <v>60.321085919061318</v>
      </c>
      <c r="AE41">
        <v>53.497840951321344</v>
      </c>
      <c r="AF41">
        <v>0</v>
      </c>
      <c r="AG41">
        <v>1.2532419143673039</v>
      </c>
      <c r="AH41">
        <v>8.5118345077322317</v>
      </c>
      <c r="AI41">
        <v>43.744661704625358</v>
      </c>
      <c r="AJ41">
        <v>3.5048730325956252</v>
      </c>
      <c r="AK41">
        <v>0.40243710416157141</v>
      </c>
      <c r="AL41">
        <v>2.904037655579232</v>
      </c>
      <c r="AM41">
        <v>39.678914080938682</v>
      </c>
      <c r="AN41">
        <v>6.8098333801517121</v>
      </c>
      <c r="AO41">
        <v>99.986588412411734</v>
      </c>
      <c r="AQ41">
        <v>5</v>
      </c>
      <c r="AR41">
        <v>78.237775354547708</v>
      </c>
      <c r="AS41">
        <v>50.298378037571602</v>
      </c>
      <c r="AT41">
        <v>0</v>
      </c>
      <c r="AU41">
        <v>1.8807997800109311</v>
      </c>
      <c r="AV41">
        <v>1.019295810921869</v>
      </c>
      <c r="AW41">
        <v>47.407060743064619</v>
      </c>
      <c r="AX41">
        <v>13.76049344744523</v>
      </c>
      <c r="AY41">
        <v>0.40963212565983043</v>
      </c>
      <c r="AZ41">
        <v>13.76049344744523</v>
      </c>
      <c r="BA41">
        <v>21.762224645452282</v>
      </c>
      <c r="BB41">
        <v>27.925745295398919</v>
      </c>
      <c r="BC41">
        <v>99.986347978422799</v>
      </c>
      <c r="BE41">
        <v>5</v>
      </c>
      <c r="BF41">
        <v>28.993241787188389</v>
      </c>
      <c r="BG41">
        <v>22.157132367891979</v>
      </c>
      <c r="BH41">
        <v>0</v>
      </c>
      <c r="BI41">
        <v>0.44147592757013621</v>
      </c>
      <c r="BJ41">
        <v>8.5299397293872712</v>
      </c>
      <c r="BK41">
        <v>13.195990161293169</v>
      </c>
      <c r="BL41">
        <v>3.512328123865347</v>
      </c>
      <c r="BM41">
        <v>0.40329311386975347</v>
      </c>
      <c r="BN41">
        <v>2.910214731202716</v>
      </c>
      <c r="BO41">
        <v>71.006758212811604</v>
      </c>
      <c r="BP41">
        <v>6.8226725456866806</v>
      </c>
      <c r="BQ41">
        <v>99.986563126390266</v>
      </c>
      <c r="BS41">
        <v>5</v>
      </c>
      <c r="BT41">
        <v>78.656176591143634</v>
      </c>
      <c r="BU41">
        <v>47.874781997911199</v>
      </c>
      <c r="BV41">
        <v>0</v>
      </c>
      <c r="BW41">
        <v>2.140817521061166</v>
      </c>
      <c r="BX41">
        <v>1.1229974333629931</v>
      </c>
      <c r="BY41">
        <v>44.620123454018042</v>
      </c>
      <c r="BZ41">
        <v>15.160465350400401</v>
      </c>
      <c r="CA41">
        <v>0.45130748190063691</v>
      </c>
      <c r="CB41">
        <v>15.160465350400401</v>
      </c>
      <c r="CC41">
        <v>21.34382340885637</v>
      </c>
      <c r="CD41">
        <v>30.766353887150071</v>
      </c>
      <c r="CE41">
        <v>99.984959293917655</v>
      </c>
    </row>
    <row r="42" spans="1:83" x14ac:dyDescent="0.35">
      <c r="A42">
        <v>6</v>
      </c>
      <c r="B42">
        <v>74.052496534050206</v>
      </c>
      <c r="C42">
        <v>67.289220669609762</v>
      </c>
      <c r="D42">
        <v>0</v>
      </c>
      <c r="E42">
        <v>1.4551195568404609</v>
      </c>
      <c r="F42">
        <v>8.5229784292992967</v>
      </c>
      <c r="G42">
        <v>57.321293820995329</v>
      </c>
      <c r="H42">
        <v>3.5094617061820639</v>
      </c>
      <c r="I42">
        <v>0.33580332132504631</v>
      </c>
      <c r="J42">
        <v>2.907839699407996</v>
      </c>
      <c r="K42">
        <v>25.947503465949811</v>
      </c>
      <c r="L42">
        <v>6.752084112091465</v>
      </c>
      <c r="M42">
        <v>99.988808247651036</v>
      </c>
      <c r="O42">
        <v>6</v>
      </c>
      <c r="P42">
        <v>67.565205879157702</v>
      </c>
      <c r="Q42">
        <v>60.801715224745962</v>
      </c>
      <c r="R42">
        <v>0</v>
      </c>
      <c r="S42">
        <v>1.301808591839529</v>
      </c>
      <c r="T42">
        <v>8.523372850960282</v>
      </c>
      <c r="U42">
        <v>50.986607193013768</v>
      </c>
      <c r="V42">
        <v>3.5096241151012921</v>
      </c>
      <c r="W42">
        <v>0.33581886144460182</v>
      </c>
      <c r="X42">
        <v>2.907974266798214</v>
      </c>
      <c r="Y42">
        <v>32.434794120842312</v>
      </c>
      <c r="Z42">
        <v>6.7522985466320158</v>
      </c>
      <c r="AA42">
        <v>99.988807892220294</v>
      </c>
      <c r="AC42">
        <v>6</v>
      </c>
      <c r="AD42">
        <v>54.581945919667163</v>
      </c>
      <c r="AE42">
        <v>47.826492169575388</v>
      </c>
      <c r="AF42">
        <v>0</v>
      </c>
      <c r="AG42">
        <v>1.1996273563708251</v>
      </c>
      <c r="AH42">
        <v>8.5135781549731995</v>
      </c>
      <c r="AI42">
        <v>38.123083903589091</v>
      </c>
      <c r="AJ42">
        <v>3.5055910049889638</v>
      </c>
      <c r="AK42">
        <v>0.3354329527542167</v>
      </c>
      <c r="AL42">
        <v>2.904632546990856</v>
      </c>
      <c r="AM42">
        <v>45.418054080332851</v>
      </c>
      <c r="AN42">
        <v>6.744274941642832</v>
      </c>
      <c r="AO42">
        <v>99.988821191551068</v>
      </c>
      <c r="AQ42">
        <v>6</v>
      </c>
      <c r="AR42">
        <v>77.788046548709303</v>
      </c>
      <c r="AS42">
        <v>49.914320878945077</v>
      </c>
      <c r="AT42">
        <v>0</v>
      </c>
      <c r="AU42">
        <v>2.0864550048560768</v>
      </c>
      <c r="AV42">
        <v>1.019444933160472</v>
      </c>
      <c r="AW42">
        <v>46.815723369907502</v>
      </c>
      <c r="AX42">
        <v>13.76250659766637</v>
      </c>
      <c r="AY42">
        <v>0.34141004545251152</v>
      </c>
      <c r="AZ42">
        <v>13.76250659766637</v>
      </c>
      <c r="BA42">
        <v>22.2119534512907</v>
      </c>
      <c r="BB42">
        <v>27.862346999606991</v>
      </c>
      <c r="BC42">
        <v>99.988621329842772</v>
      </c>
      <c r="BE42">
        <v>6</v>
      </c>
      <c r="BF42">
        <v>21.682873492009481</v>
      </c>
      <c r="BG42">
        <v>14.913050455553559</v>
      </c>
      <c r="BH42">
        <v>0</v>
      </c>
      <c r="BI42">
        <v>0.26097037212871133</v>
      </c>
      <c r="BJ42">
        <v>8.534349051956081</v>
      </c>
      <c r="BK42">
        <v>6.1254399311831396</v>
      </c>
      <c r="BL42">
        <v>3.5141437272760339</v>
      </c>
      <c r="BM42">
        <v>0.3362513211510878</v>
      </c>
      <c r="BN42">
        <v>2.9117190883144271</v>
      </c>
      <c r="BO42">
        <v>78.317126507990523</v>
      </c>
      <c r="BP42">
        <v>6.7586204499595244</v>
      </c>
      <c r="BQ42">
        <v>99.988797413503605</v>
      </c>
      <c r="BS42">
        <v>6</v>
      </c>
      <c r="BT42">
        <v>78.258293881566459</v>
      </c>
      <c r="BU42">
        <v>47.548737293573467</v>
      </c>
      <c r="BV42">
        <v>0</v>
      </c>
      <c r="BW42">
        <v>2.2906561663261762</v>
      </c>
      <c r="BX42">
        <v>1.123177356906887</v>
      </c>
      <c r="BY42">
        <v>44.142521897566127</v>
      </c>
      <c r="BZ42">
        <v>15.162894318242969</v>
      </c>
      <c r="CA42">
        <v>0.37614982428133792</v>
      </c>
      <c r="CB42">
        <v>15.162894318242969</v>
      </c>
      <c r="CC42">
        <v>21.74170611843353</v>
      </c>
      <c r="CD42">
        <v>30.69702026905134</v>
      </c>
      <c r="CE42">
        <v>99.98746368105833</v>
      </c>
    </row>
    <row r="43" spans="1:83" x14ac:dyDescent="0.35">
      <c r="A43">
        <v>7</v>
      </c>
      <c r="B43">
        <v>72.162995450025647</v>
      </c>
      <c r="C43">
        <v>65.456530073294573</v>
      </c>
      <c r="D43">
        <v>0</v>
      </c>
      <c r="E43">
        <v>1.616911441614687</v>
      </c>
      <c r="F43">
        <v>8.5240802615107629</v>
      </c>
      <c r="G43">
        <v>55.324000448758653</v>
      </c>
      <c r="H43">
        <v>3.5099154017985499</v>
      </c>
      <c r="I43">
        <v>0.27987227770991713</v>
      </c>
      <c r="J43">
        <v>2.9082156186330841</v>
      </c>
      <c r="K43">
        <v>27.83700454997436</v>
      </c>
      <c r="L43">
        <v>6.6971375066942649</v>
      </c>
      <c r="M43">
        <v>99.990672129963201</v>
      </c>
      <c r="O43">
        <v>7</v>
      </c>
      <c r="P43">
        <v>63.138986537083888</v>
      </c>
      <c r="Q43">
        <v>56.432210802273758</v>
      </c>
      <c r="R43">
        <v>0</v>
      </c>
      <c r="S43">
        <v>1.23843484920242</v>
      </c>
      <c r="T43">
        <v>8.524632300096167</v>
      </c>
      <c r="U43">
        <v>46.67748231190442</v>
      </c>
      <c r="V43">
        <v>3.510142711804304</v>
      </c>
      <c r="W43">
        <v>0.27989040286729949</v>
      </c>
      <c r="X43">
        <v>2.90840396120928</v>
      </c>
      <c r="Y43">
        <v>36.861013462916112</v>
      </c>
      <c r="Z43">
        <v>6.6974474331033402</v>
      </c>
      <c r="AA43">
        <v>99.990671698293198</v>
      </c>
      <c r="AC43">
        <v>7</v>
      </c>
      <c r="AD43">
        <v>49.608382597521668</v>
      </c>
      <c r="AE43">
        <v>42.909314002892387</v>
      </c>
      <c r="AF43">
        <v>0</v>
      </c>
      <c r="AG43">
        <v>1.18779445076976</v>
      </c>
      <c r="AH43">
        <v>8.5151774988867572</v>
      </c>
      <c r="AI43">
        <v>33.214402911894403</v>
      </c>
      <c r="AJ43">
        <v>3.506249558365135</v>
      </c>
      <c r="AK43">
        <v>0.2795799721030891</v>
      </c>
      <c r="AL43">
        <v>2.9051782055025401</v>
      </c>
      <c r="AM43">
        <v>50.391617402478317</v>
      </c>
      <c r="AN43">
        <v>6.6897510126083333</v>
      </c>
      <c r="AO43">
        <v>99.990682417979059</v>
      </c>
      <c r="AQ43">
        <v>7</v>
      </c>
      <c r="AR43">
        <v>77.125779182378494</v>
      </c>
      <c r="AS43">
        <v>49.306774003461641</v>
      </c>
      <c r="AT43">
        <v>0</v>
      </c>
      <c r="AU43">
        <v>2.2668654987716148</v>
      </c>
      <c r="AV43">
        <v>1.0195703025199689</v>
      </c>
      <c r="AW43">
        <v>46.026401853549963</v>
      </c>
      <c r="AX43">
        <v>13.764199084019589</v>
      </c>
      <c r="AY43">
        <v>0.28454335949778742</v>
      </c>
      <c r="AZ43">
        <v>13.764199084019589</v>
      </c>
      <c r="BA43">
        <v>22.874220817621509</v>
      </c>
      <c r="BB43">
        <v>27.809521566543179</v>
      </c>
      <c r="BC43">
        <v>99.990516387626315</v>
      </c>
      <c r="BE43">
        <v>7</v>
      </c>
      <c r="BF43">
        <v>28.049330639463282</v>
      </c>
      <c r="BG43">
        <v>21.333918075103821</v>
      </c>
      <c r="BH43">
        <v>0</v>
      </c>
      <c r="BI43">
        <v>6.6763522904697643</v>
      </c>
      <c r="BJ43">
        <v>8.5371919025802399</v>
      </c>
      <c r="BK43">
        <v>6.1274803575385182</v>
      </c>
      <c r="BL43">
        <v>3.515314312827158</v>
      </c>
      <c r="BM43">
        <v>0.28030277399081188</v>
      </c>
      <c r="BN43">
        <v>2.912689002056787</v>
      </c>
      <c r="BO43">
        <v>71.950669360536722</v>
      </c>
      <c r="BP43">
        <v>6.7060722498830341</v>
      </c>
      <c r="BQ43">
        <v>99.990659685523582</v>
      </c>
      <c r="BS43">
        <v>7</v>
      </c>
      <c r="BT43">
        <v>77.706414227101163</v>
      </c>
      <c r="BU43">
        <v>47.056718797484088</v>
      </c>
      <c r="BV43">
        <v>0</v>
      </c>
      <c r="BW43">
        <v>2.4216319996486142</v>
      </c>
      <c r="BX43">
        <v>1.123328402560738</v>
      </c>
      <c r="BY43">
        <v>43.518086614780913</v>
      </c>
      <c r="BZ43">
        <v>15.16493343456996</v>
      </c>
      <c r="CA43">
        <v>0.31350034097099921</v>
      </c>
      <c r="CB43">
        <v>15.16493343456996</v>
      </c>
      <c r="CC43">
        <v>22.293585772898819</v>
      </c>
      <c r="CD43">
        <v>30.639246823387051</v>
      </c>
      <c r="CE43">
        <v>99.989551393769958</v>
      </c>
    </row>
    <row r="44" spans="1:83" x14ac:dyDescent="0.35">
      <c r="A44">
        <v>8</v>
      </c>
      <c r="B44">
        <v>69.838913927239219</v>
      </c>
      <c r="C44">
        <v>63.179781778779613</v>
      </c>
      <c r="D44">
        <v>0</v>
      </c>
      <c r="E44">
        <v>1.711653420062345</v>
      </c>
      <c r="F44">
        <v>8.5250292387183002</v>
      </c>
      <c r="G44">
        <v>52.950132861006303</v>
      </c>
      <c r="H44">
        <v>3.5103061571193002</v>
      </c>
      <c r="I44">
        <v>0.23325286300554529</v>
      </c>
      <c r="J44">
        <v>2.9085393873274201</v>
      </c>
      <c r="K44">
        <v>30.161086072760789</v>
      </c>
      <c r="L44">
        <v>6.6513579185232317</v>
      </c>
      <c r="M44">
        <v>99.992225770063641</v>
      </c>
      <c r="O44">
        <v>8</v>
      </c>
      <c r="P44">
        <v>57.977016013016417</v>
      </c>
      <c r="Q44">
        <v>51.31745260420044</v>
      </c>
      <c r="R44">
        <v>0</v>
      </c>
      <c r="S44">
        <v>1.1440456370843259</v>
      </c>
      <c r="T44">
        <v>8.5257756088943157</v>
      </c>
      <c r="U44">
        <v>41.654513965353168</v>
      </c>
      <c r="V44">
        <v>3.510613486015306</v>
      </c>
      <c r="W44">
        <v>0.2332732843994833</v>
      </c>
      <c r="X44">
        <v>2.9087940312698248</v>
      </c>
      <c r="Y44">
        <v>42.022983986983583</v>
      </c>
      <c r="Z44">
        <v>6.6517886754030009</v>
      </c>
      <c r="AA44">
        <v>99.992225266587013</v>
      </c>
      <c r="AC44">
        <v>8</v>
      </c>
      <c r="AD44">
        <v>45.472848933198343</v>
      </c>
      <c r="AE44">
        <v>38.820671748908559</v>
      </c>
      <c r="AF44">
        <v>0</v>
      </c>
      <c r="AG44">
        <v>1.2055590750105669</v>
      </c>
      <c r="AH44">
        <v>8.5166320174729488</v>
      </c>
      <c r="AI44">
        <v>29.10511180282154</v>
      </c>
      <c r="AJ44">
        <v>3.5068484777829791</v>
      </c>
      <c r="AK44">
        <v>0.23302310709012</v>
      </c>
      <c r="AL44">
        <v>2.9056744530201821</v>
      </c>
      <c r="AM44">
        <v>54.527151066801657</v>
      </c>
      <c r="AN44">
        <v>6.6444110739535827</v>
      </c>
      <c r="AO44">
        <v>99.992233889663808</v>
      </c>
      <c r="AQ44">
        <v>8</v>
      </c>
      <c r="AR44">
        <v>76.307561193228054</v>
      </c>
      <c r="AS44">
        <v>48.534139576732493</v>
      </c>
      <c r="AT44">
        <v>0</v>
      </c>
      <c r="AU44">
        <v>2.4116471173533132</v>
      </c>
      <c r="AV44">
        <v>1.0196759211534689</v>
      </c>
      <c r="AW44">
        <v>45.107844253810917</v>
      </c>
      <c r="AX44">
        <v>13.765624935571839</v>
      </c>
      <c r="AY44">
        <v>0.2371440297666694</v>
      </c>
      <c r="AZ44">
        <v>13.765624935571839</v>
      </c>
      <c r="BA44">
        <v>23.692438806771928</v>
      </c>
      <c r="BB44">
        <v>27.765517634287331</v>
      </c>
      <c r="BC44">
        <v>99.992096017791752</v>
      </c>
      <c r="BE44">
        <v>8</v>
      </c>
      <c r="BF44">
        <v>28.662392810857231</v>
      </c>
      <c r="BG44">
        <v>21.99301766281452</v>
      </c>
      <c r="BH44">
        <v>0</v>
      </c>
      <c r="BI44">
        <v>7.4930458518433003</v>
      </c>
      <c r="BJ44">
        <v>8.5395116755731699</v>
      </c>
      <c r="BK44">
        <v>5.9664361997748836</v>
      </c>
      <c r="BL44">
        <v>3.5162695134713058</v>
      </c>
      <c r="BM44">
        <v>0.23364911617548789</v>
      </c>
      <c r="BN44">
        <v>2.9134804540190808</v>
      </c>
      <c r="BO44">
        <v>71.337607189142773</v>
      </c>
      <c r="BP44">
        <v>6.6615889598762887</v>
      </c>
      <c r="BQ44">
        <v>99.992213811833579</v>
      </c>
      <c r="BS44">
        <v>8</v>
      </c>
      <c r="BT44">
        <v>76.976278641975767</v>
      </c>
      <c r="BU44">
        <v>46.376453145888611</v>
      </c>
      <c r="BV44">
        <v>0</v>
      </c>
      <c r="BW44">
        <v>2.493295315798024</v>
      </c>
      <c r="BX44">
        <v>1.1234554993207599</v>
      </c>
      <c r="BY44">
        <v>42.764949502409692</v>
      </c>
      <c r="BZ44">
        <v>15.16664924083026</v>
      </c>
      <c r="CA44">
        <v>0.2612798427867869</v>
      </c>
      <c r="CB44">
        <v>15.16664924083026</v>
      </c>
      <c r="CC44">
        <v>23.023721358024218</v>
      </c>
      <c r="CD44">
        <v>30.591117153282418</v>
      </c>
      <c r="CE44">
        <v>99.991291657195248</v>
      </c>
    </row>
    <row r="45" spans="1:83" x14ac:dyDescent="0.35">
      <c r="A45">
        <v>9</v>
      </c>
      <c r="B45">
        <v>66.779876438099535</v>
      </c>
      <c r="C45">
        <v>60.16017426162027</v>
      </c>
      <c r="D45">
        <v>0</v>
      </c>
      <c r="E45">
        <v>1.648420328679824</v>
      </c>
      <c r="F45">
        <v>8.5258564508353505</v>
      </c>
      <c r="G45">
        <v>49.991735025146831</v>
      </c>
      <c r="H45">
        <v>3.51064677387338</v>
      </c>
      <c r="I45">
        <v>0.1943962469262091</v>
      </c>
      <c r="J45">
        <v>2.9088216126379431</v>
      </c>
      <c r="K45">
        <v>33.220123561900458</v>
      </c>
      <c r="L45">
        <v>6.6132229302846746</v>
      </c>
      <c r="M45">
        <v>99.993520753805399</v>
      </c>
      <c r="O45">
        <v>9</v>
      </c>
      <c r="P45">
        <v>52.324760685448076</v>
      </c>
      <c r="Q45">
        <v>45.704478951041189</v>
      </c>
      <c r="R45">
        <v>0</v>
      </c>
      <c r="S45">
        <v>1.025481612430049</v>
      </c>
      <c r="T45">
        <v>8.5268315578778928</v>
      </c>
      <c r="U45">
        <v>36.157826450249694</v>
      </c>
      <c r="V45">
        <v>3.511048288537955</v>
      </c>
      <c r="W45">
        <v>0.19441848013533181</v>
      </c>
      <c r="X45">
        <v>2.9091542962171641</v>
      </c>
      <c r="Y45">
        <v>47.675239314551924</v>
      </c>
      <c r="Z45">
        <v>6.6138019209513672</v>
      </c>
      <c r="AA45">
        <v>99.993520186544472</v>
      </c>
      <c r="AC45">
        <v>9</v>
      </c>
      <c r="AD45">
        <v>42.216637235137703</v>
      </c>
      <c r="AE45">
        <v>35.603455517673623</v>
      </c>
      <c r="AF45">
        <v>0</v>
      </c>
      <c r="AG45">
        <v>1.234329901071576</v>
      </c>
      <c r="AH45">
        <v>8.5179380299545286</v>
      </c>
      <c r="AI45">
        <v>25.856647322045031</v>
      </c>
      <c r="AJ45">
        <v>3.5073862476283351</v>
      </c>
      <c r="AK45">
        <v>0.19421570068904331</v>
      </c>
      <c r="AL45">
        <v>2.906120033749191</v>
      </c>
      <c r="AM45">
        <v>57.783362764862282</v>
      </c>
      <c r="AN45">
        <v>6.6067088533782616</v>
      </c>
      <c r="AO45">
        <v>99.993527135914178</v>
      </c>
      <c r="AQ45">
        <v>9</v>
      </c>
      <c r="AR45">
        <v>75.301466145915938</v>
      </c>
      <c r="AS45">
        <v>47.566008915806499</v>
      </c>
      <c r="AT45">
        <v>0</v>
      </c>
      <c r="AU45">
        <v>2.5336084591354018</v>
      </c>
      <c r="AV45">
        <v>1.0197651296910719</v>
      </c>
      <c r="AW45">
        <v>44.016796741412719</v>
      </c>
      <c r="AX45">
        <v>13.766829250829471</v>
      </c>
      <c r="AY45">
        <v>0.19763731401779491</v>
      </c>
      <c r="AZ45">
        <v>13.766829250829471</v>
      </c>
      <c r="BA45">
        <v>24.698533854084069</v>
      </c>
      <c r="BB45">
        <v>27.728869895949241</v>
      </c>
      <c r="BC45">
        <v>99.993412665839799</v>
      </c>
      <c r="BE45">
        <v>9</v>
      </c>
      <c r="BF45">
        <v>26.416399500466571</v>
      </c>
      <c r="BG45">
        <v>19.785451682936191</v>
      </c>
      <c r="BH45">
        <v>0</v>
      </c>
      <c r="BI45">
        <v>6.2766693622169463</v>
      </c>
      <c r="BJ45">
        <v>8.5416102663972158</v>
      </c>
      <c r="BK45">
        <v>4.9720343425802884</v>
      </c>
      <c r="BL45">
        <v>3.5171336391047361</v>
      </c>
      <c r="BM45">
        <v>0.19475544633774669</v>
      </c>
      <c r="BN45">
        <v>2.9141964438296371</v>
      </c>
      <c r="BO45">
        <v>73.583600499533432</v>
      </c>
      <c r="BP45">
        <v>6.6244575643032926</v>
      </c>
      <c r="BQ45">
        <v>99.993509746772915</v>
      </c>
      <c r="BS45">
        <v>9</v>
      </c>
      <c r="BT45">
        <v>76.145710266705947</v>
      </c>
      <c r="BU45">
        <v>45.587420809312341</v>
      </c>
      <c r="BV45">
        <v>0</v>
      </c>
      <c r="BW45">
        <v>2.6080585506064962</v>
      </c>
      <c r="BX45">
        <v>1.1235625908781031</v>
      </c>
      <c r="BY45">
        <v>41.860145214128991</v>
      </c>
      <c r="BZ45">
        <v>15.16809497685438</v>
      </c>
      <c r="CA45">
        <v>0.2177539573835918</v>
      </c>
      <c r="CB45">
        <v>15.16809497685438</v>
      </c>
      <c r="CC45">
        <v>23.85428973329406</v>
      </c>
      <c r="CD45">
        <v>30.551031683982838</v>
      </c>
      <c r="CE45">
        <v>99.992742226589243</v>
      </c>
    </row>
    <row r="46" spans="1:83" x14ac:dyDescent="0.35">
      <c r="A46">
        <v>10</v>
      </c>
      <c r="B46">
        <v>63.554648697584959</v>
      </c>
      <c r="C46">
        <v>56.967783542887169</v>
      </c>
      <c r="D46">
        <v>0</v>
      </c>
      <c r="E46">
        <v>1.69749435663921</v>
      </c>
      <c r="F46">
        <v>8.5265809084310682</v>
      </c>
      <c r="G46">
        <v>46.748548934440279</v>
      </c>
      <c r="H46">
        <v>3.510945079942204</v>
      </c>
      <c r="I46">
        <v>0.16201063760865761</v>
      </c>
      <c r="J46">
        <v>2.9090687805235409</v>
      </c>
      <c r="K46">
        <v>36.445351302415048</v>
      </c>
      <c r="L46">
        <v>6.5814652589498301</v>
      </c>
      <c r="M46">
        <v>99.994600104252044</v>
      </c>
      <c r="O46">
        <v>10</v>
      </c>
      <c r="P46">
        <v>46.577678347126557</v>
      </c>
      <c r="Q46">
        <v>39.990059848921547</v>
      </c>
      <c r="R46">
        <v>0</v>
      </c>
      <c r="S46">
        <v>0.89408857332847747</v>
      </c>
      <c r="T46">
        <v>8.5278203278005478</v>
      </c>
      <c r="U46">
        <v>30.572788188262852</v>
      </c>
      <c r="V46">
        <v>3.5114554290943421</v>
      </c>
      <c r="W46">
        <v>0.16203418739074149</v>
      </c>
      <c r="X46">
        <v>2.9094916412495988</v>
      </c>
      <c r="Y46">
        <v>53.42232165287345</v>
      </c>
      <c r="Z46">
        <v>6.5822179848678957</v>
      </c>
      <c r="AA46">
        <v>99.994599486662906</v>
      </c>
      <c r="AC46">
        <v>10</v>
      </c>
      <c r="AD46">
        <v>39.624479684229669</v>
      </c>
      <c r="AE46">
        <v>33.043732105036561</v>
      </c>
      <c r="AF46">
        <v>0</v>
      </c>
      <c r="AG46">
        <v>1.2627285250550311</v>
      </c>
      <c r="AH46">
        <v>8.5190979067826316</v>
      </c>
      <c r="AI46">
        <v>23.266405196328542</v>
      </c>
      <c r="AJ46">
        <v>3.5078638439693179</v>
      </c>
      <c r="AK46">
        <v>0.16186845566242269</v>
      </c>
      <c r="AL46">
        <v>2.906515756431721</v>
      </c>
      <c r="AM46">
        <v>60.375520315770338</v>
      </c>
      <c r="AN46">
        <v>6.5753526986183957</v>
      </c>
      <c r="AO46">
        <v>99.994605119425302</v>
      </c>
      <c r="AQ46">
        <v>10</v>
      </c>
      <c r="AR46">
        <v>74.028777509515578</v>
      </c>
      <c r="AS46">
        <v>46.324931320785751</v>
      </c>
      <c r="AT46">
        <v>0</v>
      </c>
      <c r="AU46">
        <v>2.609683654819535</v>
      </c>
      <c r="AV46">
        <v>1.0198407604102599</v>
      </c>
      <c r="AW46">
        <v>42.698842586743858</v>
      </c>
      <c r="AX46">
        <v>13.76785026553852</v>
      </c>
      <c r="AY46">
        <v>0.1647099764648827</v>
      </c>
      <c r="AZ46">
        <v>13.76785026553852</v>
      </c>
      <c r="BA46">
        <v>25.971222490484418</v>
      </c>
      <c r="BB46">
        <v>27.69835626334044</v>
      </c>
      <c r="BC46">
        <v>99.994510074610616</v>
      </c>
      <c r="BE46">
        <v>10</v>
      </c>
      <c r="BF46">
        <v>28.705962773971731</v>
      </c>
      <c r="BG46">
        <v>22.106926612246522</v>
      </c>
      <c r="BH46">
        <v>0</v>
      </c>
      <c r="BI46">
        <v>8.6808731865784523</v>
      </c>
      <c r="BJ46">
        <v>8.5432203061503831</v>
      </c>
      <c r="BK46">
        <v>4.8870001359883508</v>
      </c>
      <c r="BL46">
        <v>3.5177965966501579</v>
      </c>
      <c r="BM46">
        <v>0.1623267970942569</v>
      </c>
      <c r="BN46">
        <v>2.91474575151013</v>
      </c>
      <c r="BO46">
        <v>71.294037226028266</v>
      </c>
      <c r="BP46">
        <v>6.5936262882158294</v>
      </c>
      <c r="BQ46">
        <v>99.994590126490621</v>
      </c>
      <c r="BS46">
        <v>10</v>
      </c>
      <c r="BT46">
        <v>75.090527834181458</v>
      </c>
      <c r="BU46">
        <v>44.56682752828128</v>
      </c>
      <c r="BV46">
        <v>0</v>
      </c>
      <c r="BW46">
        <v>2.6496107422180208</v>
      </c>
      <c r="BX46">
        <v>1.123653103814487</v>
      </c>
      <c r="BY46">
        <v>40.797153935660262</v>
      </c>
      <c r="BZ46">
        <v>15.16931690149557</v>
      </c>
      <c r="CA46">
        <v>0.18147624949754301</v>
      </c>
      <c r="CB46">
        <v>15.16931690149557</v>
      </c>
      <c r="CC46">
        <v>24.909472165818539</v>
      </c>
      <c r="CD46">
        <v>30.51765158486176</v>
      </c>
      <c r="CE46">
        <v>99.993951278961575</v>
      </c>
    </row>
    <row r="47" spans="1:83" x14ac:dyDescent="0.35">
      <c r="A47">
        <v>11</v>
      </c>
      <c r="B47">
        <v>60.160835241297121</v>
      </c>
      <c r="C47">
        <v>53.601312220668362</v>
      </c>
      <c r="D47">
        <v>0</v>
      </c>
      <c r="E47">
        <v>1.783578446068715</v>
      </c>
      <c r="F47">
        <v>8.5272187819590108</v>
      </c>
      <c r="G47">
        <v>43.294524906871878</v>
      </c>
      <c r="H47">
        <v>3.511207733747828</v>
      </c>
      <c r="I47">
        <v>0.13501896468720889</v>
      </c>
      <c r="J47">
        <v>2.9092864079624858</v>
      </c>
      <c r="K47">
        <v>39.839164758702879</v>
      </c>
      <c r="L47">
        <v>6.5550227251396258</v>
      </c>
      <c r="M47">
        <v>99.995499704510863</v>
      </c>
      <c r="O47">
        <v>11</v>
      </c>
      <c r="P47">
        <v>41.397152791448818</v>
      </c>
      <c r="Q47">
        <v>34.836676281962852</v>
      </c>
      <c r="R47">
        <v>0</v>
      </c>
      <c r="S47">
        <v>0.89979936847674491</v>
      </c>
      <c r="T47">
        <v>8.528747624994848</v>
      </c>
      <c r="U47">
        <v>25.41191735518747</v>
      </c>
      <c r="V47">
        <v>3.5118372573508192</v>
      </c>
      <c r="W47">
        <v>0.13504317220540979</v>
      </c>
      <c r="X47">
        <v>2.909808013233536</v>
      </c>
      <c r="Y47">
        <v>58.602847208551182</v>
      </c>
      <c r="Z47">
        <v>6.5559755598362246</v>
      </c>
      <c r="AA47">
        <v>99.995499050350247</v>
      </c>
      <c r="AC47">
        <v>11</v>
      </c>
      <c r="AD47">
        <v>37.747996574763413</v>
      </c>
      <c r="AE47">
        <v>31.194230248653071</v>
      </c>
      <c r="AF47">
        <v>0</v>
      </c>
      <c r="AG47">
        <v>1.323328565861847</v>
      </c>
      <c r="AH47">
        <v>8.5201127785217299</v>
      </c>
      <c r="AI47">
        <v>21.35450504218089</v>
      </c>
      <c r="AJ47">
        <v>3.5082817323324771</v>
      </c>
      <c r="AK47">
        <v>0.13490644907670341</v>
      </c>
      <c r="AL47">
        <v>2.9068620067897659</v>
      </c>
      <c r="AM47">
        <v>62.252003425236587</v>
      </c>
      <c r="AN47">
        <v>6.5492699801197247</v>
      </c>
      <c r="AO47">
        <v>99.995503654009383</v>
      </c>
      <c r="AQ47">
        <v>11</v>
      </c>
      <c r="AR47">
        <v>72.539584051897677</v>
      </c>
      <c r="AS47">
        <v>44.862049929975868</v>
      </c>
      <c r="AT47">
        <v>0</v>
      </c>
      <c r="AU47">
        <v>2.6482804123615158</v>
      </c>
      <c r="AV47">
        <v>1.019905088714345</v>
      </c>
      <c r="AW47">
        <v>41.196694183996883</v>
      </c>
      <c r="AX47">
        <v>13.768718697643671</v>
      </c>
      <c r="AY47">
        <v>0.1372669715376085</v>
      </c>
      <c r="AZ47">
        <v>13.768718697643671</v>
      </c>
      <c r="BA47">
        <v>27.46041594810232</v>
      </c>
      <c r="BB47">
        <v>27.67295884479778</v>
      </c>
      <c r="BC47">
        <v>99.995424722875967</v>
      </c>
      <c r="BE47">
        <v>11</v>
      </c>
      <c r="BF47">
        <v>25.193200765837329</v>
      </c>
      <c r="BG47">
        <v>18.620877009068099</v>
      </c>
      <c r="BH47">
        <v>0</v>
      </c>
      <c r="BI47">
        <v>6.4570708535867709</v>
      </c>
      <c r="BJ47">
        <v>8.5447496449751412</v>
      </c>
      <c r="BK47">
        <v>3.6223898706608511</v>
      </c>
      <c r="BL47">
        <v>3.518426324401529</v>
      </c>
      <c r="BM47">
        <v>0.13529654628034429</v>
      </c>
      <c r="BN47">
        <v>2.9152675259326939</v>
      </c>
      <c r="BO47">
        <v>74.806799234162668</v>
      </c>
      <c r="BP47">
        <v>6.5678146790721694</v>
      </c>
      <c r="BQ47">
        <v>99.995490922302935</v>
      </c>
      <c r="BS47">
        <v>11</v>
      </c>
      <c r="BT47">
        <v>73.932772401517298</v>
      </c>
      <c r="BU47">
        <v>43.437867383681038</v>
      </c>
      <c r="BV47">
        <v>0</v>
      </c>
      <c r="BW47">
        <v>2.7528194694642529</v>
      </c>
      <c r="BX47">
        <v>1.1237297238186039</v>
      </c>
      <c r="BY47">
        <v>39.564280145085498</v>
      </c>
      <c r="BZ47">
        <v>15.17035127155115</v>
      </c>
      <c r="CA47">
        <v>0.15124052004664071</v>
      </c>
      <c r="CB47">
        <v>15.17035127155115</v>
      </c>
      <c r="CC47">
        <v>26.06722759848271</v>
      </c>
      <c r="CD47">
        <v>30.489864010905759</v>
      </c>
      <c r="CE47">
        <v>99.994958993069517</v>
      </c>
    </row>
  </sheetData>
  <mergeCells count="9">
    <mergeCell ref="AE3:AH3"/>
    <mergeCell ref="AJ3:AM3"/>
    <mergeCell ref="AO3:AR3"/>
    <mergeCell ref="B3:E3"/>
    <mergeCell ref="F3:H3"/>
    <mergeCell ref="J3:N3"/>
    <mergeCell ref="P3:S3"/>
    <mergeCell ref="U3:X3"/>
    <mergeCell ref="Z3:AC3"/>
  </mergeCells>
  <phoneticPr fontId="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E878-39E7-4E8C-9EF9-F6331845CB7E}">
  <dimension ref="B2:F25"/>
  <sheetViews>
    <sheetView zoomScale="80" zoomScaleNormal="80" workbookViewId="0">
      <selection activeCell="H25" sqref="H25"/>
    </sheetView>
  </sheetViews>
  <sheetFormatPr defaultRowHeight="14.5" x14ac:dyDescent="0.35"/>
  <sheetData>
    <row r="2" spans="2:6" x14ac:dyDescent="0.35">
      <c r="B2">
        <v>20</v>
      </c>
      <c r="C2">
        <v>20</v>
      </c>
      <c r="D2">
        <v>20</v>
      </c>
      <c r="E2">
        <f>B2*1.2</f>
        <v>24</v>
      </c>
      <c r="F2">
        <f>C2*1.2</f>
        <v>24</v>
      </c>
    </row>
    <row r="3" spans="2:6" x14ac:dyDescent="0.35">
      <c r="B3">
        <v>17</v>
      </c>
      <c r="C3">
        <v>15</v>
      </c>
      <c r="D3">
        <v>15</v>
      </c>
      <c r="E3">
        <f t="shared" ref="E3:E21" si="0">B3*1.2</f>
        <v>20.399999999999999</v>
      </c>
      <c r="F3">
        <f t="shared" ref="F3:F21" si="1">C3*1.2</f>
        <v>18</v>
      </c>
    </row>
    <row r="4" spans="2:6" x14ac:dyDescent="0.35">
      <c r="B4">
        <v>14.8</v>
      </c>
      <c r="C4">
        <v>10</v>
      </c>
      <c r="D4">
        <v>10</v>
      </c>
      <c r="E4">
        <f t="shared" si="0"/>
        <v>17.760000000000002</v>
      </c>
      <c r="F4">
        <f t="shared" si="1"/>
        <v>12</v>
      </c>
    </row>
    <row r="5" spans="2:6" x14ac:dyDescent="0.35">
      <c r="B5">
        <v>8</v>
      </c>
      <c r="C5">
        <v>4</v>
      </c>
      <c r="D5">
        <v>4</v>
      </c>
      <c r="E5">
        <f t="shared" si="0"/>
        <v>9.6</v>
      </c>
      <c r="F5">
        <f t="shared" si="1"/>
        <v>4.8</v>
      </c>
    </row>
    <row r="6" spans="2:6" x14ac:dyDescent="0.35">
      <c r="B6">
        <v>4</v>
      </c>
      <c r="C6">
        <v>2</v>
      </c>
      <c r="D6">
        <v>2</v>
      </c>
      <c r="E6">
        <f t="shared" si="0"/>
        <v>4.8</v>
      </c>
      <c r="F6">
        <f t="shared" si="1"/>
        <v>2.4</v>
      </c>
    </row>
    <row r="7" spans="2:6" x14ac:dyDescent="0.35">
      <c r="B7">
        <v>2</v>
      </c>
      <c r="C7">
        <v>2</v>
      </c>
      <c r="D7">
        <v>2</v>
      </c>
      <c r="E7">
        <f t="shared" si="0"/>
        <v>2.4</v>
      </c>
      <c r="F7">
        <f t="shared" si="1"/>
        <v>2.4</v>
      </c>
    </row>
    <row r="8" spans="2:6" x14ac:dyDescent="0.35">
      <c r="B8">
        <v>2</v>
      </c>
      <c r="C8">
        <v>2</v>
      </c>
      <c r="D8">
        <v>2</v>
      </c>
      <c r="E8">
        <f t="shared" si="0"/>
        <v>2.4</v>
      </c>
      <c r="F8">
        <f t="shared" si="1"/>
        <v>2.4</v>
      </c>
    </row>
    <row r="9" spans="2:6" x14ac:dyDescent="0.35">
      <c r="B9">
        <v>2</v>
      </c>
      <c r="C9">
        <v>2</v>
      </c>
      <c r="D9">
        <v>2</v>
      </c>
      <c r="E9">
        <f t="shared" si="0"/>
        <v>2.4</v>
      </c>
      <c r="F9">
        <f t="shared" si="1"/>
        <v>2.4</v>
      </c>
    </row>
    <row r="10" spans="2:6" x14ac:dyDescent="0.35">
      <c r="B10">
        <v>2</v>
      </c>
      <c r="C10">
        <v>2</v>
      </c>
      <c r="D10">
        <v>2</v>
      </c>
      <c r="E10">
        <f t="shared" si="0"/>
        <v>2.4</v>
      </c>
      <c r="F10">
        <f t="shared" si="1"/>
        <v>2.4</v>
      </c>
    </row>
    <row r="11" spans="2:6" x14ac:dyDescent="0.35">
      <c r="B11">
        <v>2</v>
      </c>
      <c r="C11">
        <v>2</v>
      </c>
      <c r="D11">
        <v>2</v>
      </c>
      <c r="E11">
        <f t="shared" si="0"/>
        <v>2.4</v>
      </c>
      <c r="F11">
        <f t="shared" si="1"/>
        <v>2.4</v>
      </c>
    </row>
    <row r="12" spans="2:6" x14ac:dyDescent="0.35">
      <c r="B12">
        <v>2</v>
      </c>
      <c r="C12">
        <v>2</v>
      </c>
      <c r="D12">
        <v>2</v>
      </c>
      <c r="E12">
        <f t="shared" si="0"/>
        <v>2.4</v>
      </c>
      <c r="F12">
        <f t="shared" si="1"/>
        <v>2.4</v>
      </c>
    </row>
    <row r="13" spans="2:6" x14ac:dyDescent="0.35">
      <c r="B13">
        <v>2</v>
      </c>
      <c r="C13">
        <v>2</v>
      </c>
      <c r="D13">
        <v>2</v>
      </c>
      <c r="E13">
        <f t="shared" si="0"/>
        <v>2.4</v>
      </c>
      <c r="F13">
        <f t="shared" si="1"/>
        <v>2.4</v>
      </c>
    </row>
    <row r="14" spans="2:6" x14ac:dyDescent="0.35">
      <c r="B14">
        <v>2</v>
      </c>
      <c r="C14">
        <v>2</v>
      </c>
      <c r="D14">
        <v>2</v>
      </c>
      <c r="E14">
        <f t="shared" si="0"/>
        <v>2.4</v>
      </c>
      <c r="F14">
        <f t="shared" si="1"/>
        <v>2.4</v>
      </c>
    </row>
    <row r="15" spans="2:6" x14ac:dyDescent="0.35">
      <c r="B15">
        <v>2</v>
      </c>
      <c r="C15">
        <v>2</v>
      </c>
      <c r="D15">
        <v>2</v>
      </c>
      <c r="E15">
        <f t="shared" si="0"/>
        <v>2.4</v>
      </c>
      <c r="F15">
        <f t="shared" si="1"/>
        <v>2.4</v>
      </c>
    </row>
    <row r="16" spans="2:6" x14ac:dyDescent="0.35">
      <c r="B16">
        <v>2</v>
      </c>
      <c r="C16">
        <v>2</v>
      </c>
      <c r="D16">
        <v>2</v>
      </c>
      <c r="E16">
        <f t="shared" si="0"/>
        <v>2.4</v>
      </c>
      <c r="F16">
        <f t="shared" si="1"/>
        <v>2.4</v>
      </c>
    </row>
    <row r="17" spans="2:6" x14ac:dyDescent="0.35">
      <c r="B17">
        <v>2</v>
      </c>
      <c r="C17">
        <v>2</v>
      </c>
      <c r="D17">
        <v>2</v>
      </c>
      <c r="E17">
        <f t="shared" si="0"/>
        <v>2.4</v>
      </c>
      <c r="F17">
        <f t="shared" si="1"/>
        <v>2.4</v>
      </c>
    </row>
    <row r="18" spans="2:6" x14ac:dyDescent="0.35">
      <c r="B18">
        <v>2</v>
      </c>
      <c r="C18">
        <v>2</v>
      </c>
      <c r="D18">
        <v>2</v>
      </c>
      <c r="E18">
        <f t="shared" si="0"/>
        <v>2.4</v>
      </c>
      <c r="F18">
        <f t="shared" si="1"/>
        <v>2.4</v>
      </c>
    </row>
    <row r="19" spans="2:6" x14ac:dyDescent="0.35">
      <c r="B19">
        <v>2</v>
      </c>
      <c r="C19">
        <v>2</v>
      </c>
      <c r="D19">
        <v>2</v>
      </c>
      <c r="E19">
        <f t="shared" si="0"/>
        <v>2.4</v>
      </c>
      <c r="F19">
        <f t="shared" si="1"/>
        <v>2.4</v>
      </c>
    </row>
    <row r="20" spans="2:6" x14ac:dyDescent="0.35">
      <c r="B20">
        <v>2</v>
      </c>
      <c r="C20">
        <v>2</v>
      </c>
      <c r="D20">
        <v>2</v>
      </c>
      <c r="E20">
        <f t="shared" si="0"/>
        <v>2.4</v>
      </c>
      <c r="F20">
        <f t="shared" si="1"/>
        <v>2.4</v>
      </c>
    </row>
    <row r="21" spans="2:6" x14ac:dyDescent="0.35">
      <c r="B21">
        <v>2</v>
      </c>
      <c r="C21">
        <v>2</v>
      </c>
      <c r="D21">
        <v>2</v>
      </c>
      <c r="E21">
        <f t="shared" si="0"/>
        <v>2.4</v>
      </c>
      <c r="F21">
        <f t="shared" si="1"/>
        <v>2.4</v>
      </c>
    </row>
    <row r="23" spans="2:6" x14ac:dyDescent="0.35">
      <c r="B23">
        <f>SUM(B2:B21)</f>
        <v>93.8</v>
      </c>
      <c r="C23">
        <f t="shared" ref="C23:D23" si="2">SUM(C2:C21)</f>
        <v>81</v>
      </c>
      <c r="D23">
        <f t="shared" si="2"/>
        <v>81</v>
      </c>
    </row>
    <row r="24" spans="2:6" x14ac:dyDescent="0.35">
      <c r="B24">
        <f>B23*1.4</f>
        <v>131.32</v>
      </c>
      <c r="C24">
        <f>C23*1.4</f>
        <v>113.39999999999999</v>
      </c>
      <c r="D24">
        <f t="shared" ref="D24" si="3">D23*1.2</f>
        <v>97.2</v>
      </c>
    </row>
    <row r="25" spans="2:6" x14ac:dyDescent="0.35">
      <c r="B25">
        <f>(B24-B23)/20</f>
        <v>1.8759999999999999</v>
      </c>
      <c r="C25">
        <f t="shared" ref="C25:D25" si="4">(C24-C23)/20</f>
        <v>1.6199999999999997</v>
      </c>
      <c r="D25">
        <f t="shared" si="4"/>
        <v>0.81000000000000016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3C27-3D26-44B0-A647-FB7523B0AD06}">
  <dimension ref="A2:T106"/>
  <sheetViews>
    <sheetView topLeftCell="A10" zoomScale="80" zoomScaleNormal="80" workbookViewId="0">
      <selection activeCell="B3" sqref="B3:E3"/>
    </sheetView>
  </sheetViews>
  <sheetFormatPr defaultRowHeight="14.5" x14ac:dyDescent="0.35"/>
  <sheetData>
    <row r="2" spans="1:20" x14ac:dyDescent="0.35">
      <c r="G2" s="4" t="s">
        <v>102</v>
      </c>
      <c r="L2" s="4" t="s">
        <v>98</v>
      </c>
      <c r="Q2" s="4" t="s">
        <v>99</v>
      </c>
    </row>
    <row r="3" spans="1:20" x14ac:dyDescent="0.35">
      <c r="A3" s="6"/>
      <c r="B3" s="27" t="s">
        <v>105</v>
      </c>
      <c r="C3" s="27"/>
      <c r="D3" s="27"/>
      <c r="E3" s="27"/>
    </row>
    <row r="4" spans="1:20" ht="43.5" x14ac:dyDescent="0.35">
      <c r="A4" s="7" t="s">
        <v>33</v>
      </c>
      <c r="B4" s="7" t="s">
        <v>34</v>
      </c>
      <c r="C4" s="7" t="s">
        <v>15</v>
      </c>
      <c r="D4" s="7" t="s">
        <v>35</v>
      </c>
      <c r="E4" s="7" t="s">
        <v>36</v>
      </c>
      <c r="G4" s="7" t="s">
        <v>34</v>
      </c>
      <c r="H4" s="7" t="s">
        <v>15</v>
      </c>
      <c r="I4" s="7" t="s">
        <v>35</v>
      </c>
      <c r="J4" s="7" t="s">
        <v>36</v>
      </c>
      <c r="L4" s="7" t="s">
        <v>34</v>
      </c>
      <c r="M4" s="7" t="s">
        <v>15</v>
      </c>
      <c r="N4" s="7" t="s">
        <v>35</v>
      </c>
      <c r="O4" s="7" t="s">
        <v>36</v>
      </c>
      <c r="Q4" s="7" t="s">
        <v>34</v>
      </c>
      <c r="R4" s="7" t="s">
        <v>15</v>
      </c>
      <c r="S4" s="7" t="s">
        <v>35</v>
      </c>
      <c r="T4" s="7" t="s">
        <v>36</v>
      </c>
    </row>
    <row r="5" spans="1:20" x14ac:dyDescent="0.35">
      <c r="A5" s="1">
        <v>2011</v>
      </c>
      <c r="B5">
        <v>20.6</v>
      </c>
      <c r="C5">
        <v>1.8</v>
      </c>
      <c r="D5">
        <v>6.9</v>
      </c>
      <c r="E5">
        <v>11.9</v>
      </c>
      <c r="G5">
        <v>20.6</v>
      </c>
      <c r="H5">
        <v>1.8</v>
      </c>
      <c r="I5">
        <v>6.9</v>
      </c>
      <c r="J5">
        <v>11.9</v>
      </c>
      <c r="L5">
        <f>100-((B5/G5)*100)</f>
        <v>0</v>
      </c>
      <c r="M5">
        <f t="shared" ref="M5:O5" si="0">100-((C5/H5)*100)</f>
        <v>0</v>
      </c>
      <c r="N5">
        <f t="shared" si="0"/>
        <v>0</v>
      </c>
      <c r="O5">
        <f t="shared" si="0"/>
        <v>0</v>
      </c>
      <c r="Q5">
        <f>L5/20</f>
        <v>0</v>
      </c>
      <c r="R5">
        <f t="shared" ref="R5:T5" si="1">M5/20</f>
        <v>0</v>
      </c>
      <c r="S5">
        <f t="shared" si="1"/>
        <v>0</v>
      </c>
      <c r="T5">
        <f t="shared" si="1"/>
        <v>0</v>
      </c>
    </row>
    <row r="6" spans="1:20" x14ac:dyDescent="0.35">
      <c r="A6" s="1">
        <v>2012</v>
      </c>
      <c r="B6">
        <v>21.162447613608759</v>
      </c>
      <c r="C6">
        <v>1.999699262333104</v>
      </c>
      <c r="D6">
        <v>7.0225776918344236</v>
      </c>
      <c r="E6">
        <v>12.14017065944123</v>
      </c>
      <c r="G6">
        <v>20.880795280350771</v>
      </c>
      <c r="H6">
        <v>2.026880814727551</v>
      </c>
      <c r="I6">
        <v>7.0007718422435179</v>
      </c>
      <c r="J6">
        <v>11.8531426233797</v>
      </c>
    </row>
    <row r="7" spans="1:20" x14ac:dyDescent="0.35">
      <c r="A7" s="1">
        <v>2013</v>
      </c>
      <c r="B7">
        <v>21.591743180826839</v>
      </c>
      <c r="C7">
        <v>2.3120607814991478</v>
      </c>
      <c r="D7">
        <v>7.1770551866779408</v>
      </c>
      <c r="E7">
        <v>12.10262721264975</v>
      </c>
      <c r="G7">
        <v>21.54615847302124</v>
      </c>
      <c r="H7">
        <v>2.3742015766126099</v>
      </c>
      <c r="I7">
        <v>7.183845759048217</v>
      </c>
      <c r="J7">
        <v>11.988111137360409</v>
      </c>
      <c r="L7">
        <f t="shared" ref="L7:L16" si="2">100-((B7/G7)*100)</f>
        <v>-0.21156768090551736</v>
      </c>
      <c r="M7">
        <f t="shared" ref="M7:M16" si="3">100-((C7/H7)*100)</f>
        <v>2.6173344220468948</v>
      </c>
      <c r="N7">
        <f t="shared" ref="N7:N16" si="4">100-((D7/I7)*100)</f>
        <v>9.4525586963271735E-2</v>
      </c>
      <c r="O7">
        <f t="shared" ref="O7:O16" si="5">100-((E7/J7)*100)</f>
        <v>-0.95524702746921264</v>
      </c>
      <c r="Q7">
        <f t="shared" ref="Q7:Q15" si="6">L7/20</f>
        <v>-1.0578384045275868E-2</v>
      </c>
      <c r="R7">
        <f t="shared" ref="R7:R16" si="7">M7/20</f>
        <v>0.13086672110234474</v>
      </c>
      <c r="S7">
        <f t="shared" ref="S7:S16" si="8">N7/20</f>
        <v>4.7262793481635864E-3</v>
      </c>
      <c r="T7">
        <f t="shared" ref="T7:T16" si="9">O7/20</f>
        <v>-4.7762351373460632E-2</v>
      </c>
    </row>
    <row r="8" spans="1:20" x14ac:dyDescent="0.35">
      <c r="A8" s="1">
        <v>2014</v>
      </c>
      <c r="B8">
        <v>22.255457259994451</v>
      </c>
      <c r="C8">
        <v>2.7910141423569792</v>
      </c>
      <c r="D8">
        <v>7.364760459652425</v>
      </c>
      <c r="E8">
        <v>12.099682657985049</v>
      </c>
      <c r="G8">
        <v>22.48929991869662</v>
      </c>
      <c r="H8">
        <v>2.9068380400273002</v>
      </c>
      <c r="I8">
        <v>7.3773566582665984</v>
      </c>
      <c r="J8">
        <v>12.20510522040273</v>
      </c>
    </row>
    <row r="9" spans="1:20" x14ac:dyDescent="0.35">
      <c r="A9" s="1">
        <v>2015</v>
      </c>
      <c r="B9">
        <v>23.119148605382531</v>
      </c>
      <c r="C9">
        <v>3.4528785475692119</v>
      </c>
      <c r="D9">
        <v>7.5482118909349181</v>
      </c>
      <c r="E9">
        <v>12.1180581668784</v>
      </c>
      <c r="G9">
        <v>23.49517928138707</v>
      </c>
      <c r="H9">
        <v>3.6817657738499552</v>
      </c>
      <c r="I9">
        <v>7.6448944243924561</v>
      </c>
      <c r="J9">
        <v>12.168519083144661</v>
      </c>
      <c r="L9">
        <f t="shared" si="2"/>
        <v>1.6004588494561176</v>
      </c>
      <c r="M9">
        <f t="shared" si="3"/>
        <v>6.2167785877752948</v>
      </c>
      <c r="N9">
        <f t="shared" si="4"/>
        <v>1.2646680005031072</v>
      </c>
      <c r="O9">
        <f t="shared" si="5"/>
        <v>0.41468411991199616</v>
      </c>
      <c r="Q9">
        <f t="shared" si="6"/>
        <v>8.0022942472805877E-2</v>
      </c>
      <c r="R9">
        <f t="shared" si="7"/>
        <v>0.31083892938876473</v>
      </c>
      <c r="S9">
        <f t="shared" si="8"/>
        <v>6.3233400025155359E-2</v>
      </c>
      <c r="T9">
        <f t="shared" si="9"/>
        <v>2.073420599559981E-2</v>
      </c>
    </row>
    <row r="10" spans="1:20" x14ac:dyDescent="0.35">
      <c r="A10" s="1">
        <v>2016</v>
      </c>
      <c r="B10">
        <v>24.218328628872442</v>
      </c>
      <c r="C10">
        <v>4.3972189147432639</v>
      </c>
      <c r="D10">
        <v>7.7453613290625798</v>
      </c>
      <c r="E10">
        <v>12.0757483850666</v>
      </c>
      <c r="G10">
        <v>25.030628574655939</v>
      </c>
      <c r="H10">
        <v>4.7908361042294283</v>
      </c>
      <c r="I10">
        <v>7.9299324773305653</v>
      </c>
      <c r="J10">
        <v>12.30985999309595</v>
      </c>
    </row>
    <row r="11" spans="1:20" x14ac:dyDescent="0.35">
      <c r="A11" s="1">
        <v>2017</v>
      </c>
      <c r="B11">
        <v>25.928832188284861</v>
      </c>
      <c r="C11">
        <v>5.6783602851271269</v>
      </c>
      <c r="D11">
        <v>7.99018269589995</v>
      </c>
      <c r="E11">
        <v>12.26028920725779</v>
      </c>
      <c r="G11">
        <v>26.96810427328786</v>
      </c>
      <c r="H11">
        <v>6.3301195355310362</v>
      </c>
      <c r="I11">
        <v>8.1720232301790698</v>
      </c>
      <c r="J11">
        <v>12.465961507577759</v>
      </c>
      <c r="L11">
        <f t="shared" si="2"/>
        <v>3.8537083455006069</v>
      </c>
      <c r="M11">
        <f t="shared" si="3"/>
        <v>10.296160234345919</v>
      </c>
      <c r="N11">
        <f t="shared" si="4"/>
        <v>2.2251592923474277</v>
      </c>
      <c r="O11">
        <f t="shared" si="5"/>
        <v>1.6498711326434545</v>
      </c>
      <c r="Q11">
        <f t="shared" si="6"/>
        <v>0.19268541727503036</v>
      </c>
      <c r="R11">
        <f t="shared" si="7"/>
        <v>0.51480801171729595</v>
      </c>
      <c r="S11">
        <f t="shared" si="8"/>
        <v>0.11125796461737139</v>
      </c>
      <c r="T11">
        <f t="shared" si="9"/>
        <v>8.2493556632172726E-2</v>
      </c>
    </row>
    <row r="12" spans="1:20" x14ac:dyDescent="0.35">
      <c r="A12" s="1">
        <v>2018</v>
      </c>
      <c r="B12">
        <v>27.790397737195271</v>
      </c>
      <c r="C12">
        <v>7.3826198635676121</v>
      </c>
      <c r="D12">
        <v>8.1783727919230067</v>
      </c>
      <c r="E12">
        <v>12.22940508170465</v>
      </c>
      <c r="G12">
        <v>29.35308683802764</v>
      </c>
      <c r="H12">
        <v>8.3944983653853047</v>
      </c>
      <c r="I12">
        <v>8.4733631433663916</v>
      </c>
      <c r="J12">
        <v>12.48522532927595</v>
      </c>
    </row>
    <row r="13" spans="1:20" x14ac:dyDescent="0.35">
      <c r="A13" s="1">
        <v>2019</v>
      </c>
      <c r="B13">
        <v>29.98153449404013</v>
      </c>
      <c r="C13">
        <v>9.5452984970777663</v>
      </c>
      <c r="D13">
        <v>8.3375807431966908</v>
      </c>
      <c r="E13">
        <v>12.098655253765671</v>
      </c>
      <c r="G13">
        <v>32.374346574949428</v>
      </c>
      <c r="H13">
        <v>11.03237188510737</v>
      </c>
      <c r="I13">
        <v>8.7069815684927896</v>
      </c>
      <c r="J13">
        <v>12.634993121349259</v>
      </c>
      <c r="L13">
        <f t="shared" si="2"/>
        <v>7.3910745205921842</v>
      </c>
      <c r="M13">
        <f t="shared" si="3"/>
        <v>13.479181118223622</v>
      </c>
      <c r="N13">
        <f t="shared" si="4"/>
        <v>4.2425819141827361</v>
      </c>
      <c r="O13">
        <f t="shared" si="5"/>
        <v>4.2448607801562019</v>
      </c>
      <c r="Q13">
        <f t="shared" si="6"/>
        <v>0.36955372602960923</v>
      </c>
      <c r="R13">
        <f t="shared" si="7"/>
        <v>0.6739590559111811</v>
      </c>
      <c r="S13">
        <f t="shared" si="8"/>
        <v>0.21212909570913679</v>
      </c>
      <c r="T13">
        <f t="shared" si="9"/>
        <v>0.21224303900781011</v>
      </c>
    </row>
    <row r="14" spans="1:20" x14ac:dyDescent="0.35">
      <c r="A14" s="1">
        <v>2020</v>
      </c>
      <c r="B14">
        <v>32.776683514361252</v>
      </c>
      <c r="C14">
        <v>12.22866575926504</v>
      </c>
      <c r="D14">
        <v>8.5458607358852117</v>
      </c>
      <c r="E14">
        <v>12.002157019210991</v>
      </c>
      <c r="G14">
        <v>35.708504879072038</v>
      </c>
      <c r="H14">
        <v>14.265510802040771</v>
      </c>
      <c r="I14">
        <v>8.9496589488464053</v>
      </c>
      <c r="J14">
        <v>12.493335128184871</v>
      </c>
      <c r="L14">
        <f t="shared" si="2"/>
        <v>8.2104287889943635</v>
      </c>
      <c r="M14">
        <f t="shared" si="3"/>
        <v>14.278108025997554</v>
      </c>
      <c r="N14">
        <f t="shared" si="4"/>
        <v>4.5118838077426631</v>
      </c>
      <c r="O14">
        <f t="shared" si="5"/>
        <v>3.9315211185345191</v>
      </c>
      <c r="Q14">
        <f t="shared" si="6"/>
        <v>0.4105214394497182</v>
      </c>
      <c r="R14">
        <f t="shared" si="7"/>
        <v>0.71390540129987767</v>
      </c>
      <c r="S14">
        <f t="shared" si="8"/>
        <v>0.22559419038713316</v>
      </c>
      <c r="T14">
        <f t="shared" si="9"/>
        <v>0.19657605592672595</v>
      </c>
    </row>
    <row r="15" spans="1:20" x14ac:dyDescent="0.35">
      <c r="A15" s="1">
        <v>2021</v>
      </c>
      <c r="B15">
        <v>35.935364148952118</v>
      </c>
      <c r="C15">
        <v>15.40840375926093</v>
      </c>
      <c r="D15">
        <v>8.7214303521119021</v>
      </c>
      <c r="E15">
        <v>11.805530037579279</v>
      </c>
      <c r="G15">
        <v>39.560298253078983</v>
      </c>
      <c r="H15">
        <v>18.095727458542349</v>
      </c>
      <c r="I15">
        <v>9.1529570707316417</v>
      </c>
      <c r="J15">
        <v>12.311613723804999</v>
      </c>
      <c r="L15">
        <f t="shared" si="2"/>
        <v>9.1630606041872653</v>
      </c>
      <c r="M15">
        <f t="shared" si="3"/>
        <v>14.850597774740635</v>
      </c>
      <c r="N15">
        <f t="shared" si="4"/>
        <v>4.7146153454562807</v>
      </c>
      <c r="O15">
        <f t="shared" si="5"/>
        <v>4.1106202450714306</v>
      </c>
      <c r="Q15">
        <f t="shared" si="6"/>
        <v>0.45815303020936327</v>
      </c>
      <c r="R15">
        <f t="shared" si="7"/>
        <v>0.74252988873703174</v>
      </c>
      <c r="S15">
        <f t="shared" si="8"/>
        <v>0.23573076727281403</v>
      </c>
      <c r="T15">
        <f t="shared" si="9"/>
        <v>0.20553101225357154</v>
      </c>
    </row>
    <row r="16" spans="1:20" x14ac:dyDescent="0.35">
      <c r="A16" s="1">
        <v>2022</v>
      </c>
      <c r="B16">
        <v>39.482984357484447</v>
      </c>
      <c r="C16">
        <v>18.99973668948746</v>
      </c>
      <c r="D16">
        <v>8.8307808681405646</v>
      </c>
      <c r="E16">
        <v>11.652466799856439</v>
      </c>
      <c r="G16">
        <v>43.90095828117019</v>
      </c>
      <c r="H16">
        <v>22.40720155444053</v>
      </c>
      <c r="I16">
        <v>9.2877225209245342</v>
      </c>
      <c r="J16">
        <v>12.20603420580513</v>
      </c>
      <c r="L16">
        <f t="shared" si="2"/>
        <v>10.063502248379578</v>
      </c>
      <c r="M16">
        <f t="shared" si="3"/>
        <v>15.20700769649568</v>
      </c>
      <c r="N16">
        <f t="shared" si="4"/>
        <v>4.9198460844896488</v>
      </c>
      <c r="O16">
        <f t="shared" si="5"/>
        <v>4.5351946145244852</v>
      </c>
      <c r="Q16" s="16">
        <f>L16/20</f>
        <v>0.50317511241897894</v>
      </c>
      <c r="R16" s="16">
        <f t="shared" si="7"/>
        <v>0.76035038482478401</v>
      </c>
      <c r="S16" s="16">
        <f t="shared" si="8"/>
        <v>0.24599230422448243</v>
      </c>
      <c r="T16" s="16">
        <f t="shared" si="9"/>
        <v>0.22675973072622427</v>
      </c>
    </row>
    <row r="18" spans="1:20" x14ac:dyDescent="0.35">
      <c r="G18" s="4" t="s">
        <v>100</v>
      </c>
      <c r="L18" s="4" t="s">
        <v>98</v>
      </c>
      <c r="Q18" s="4" t="s">
        <v>99</v>
      </c>
    </row>
    <row r="20" spans="1:20" x14ac:dyDescent="0.35">
      <c r="A20" s="1">
        <v>2011</v>
      </c>
      <c r="B20">
        <v>20.6</v>
      </c>
      <c r="C20">
        <v>1.8</v>
      </c>
      <c r="D20">
        <v>6.9</v>
      </c>
      <c r="E20">
        <v>11.9</v>
      </c>
      <c r="G20">
        <v>20.6</v>
      </c>
      <c r="H20">
        <v>1.8</v>
      </c>
      <c r="I20">
        <v>6.9</v>
      </c>
      <c r="J20">
        <v>11.9</v>
      </c>
      <c r="L20">
        <f>100-((B20/G20)*100)</f>
        <v>0</v>
      </c>
      <c r="M20">
        <f t="shared" ref="M20" si="10">100-((C20/H20)*100)</f>
        <v>0</v>
      </c>
      <c r="N20">
        <f t="shared" ref="N20" si="11">100-((D20/I20)*100)</f>
        <v>0</v>
      </c>
      <c r="O20">
        <f t="shared" ref="O20" si="12">100-((E20/J20)*100)</f>
        <v>0</v>
      </c>
      <c r="Q20">
        <f>L20/20</f>
        <v>0</v>
      </c>
      <c r="R20">
        <f t="shared" ref="R20" si="13">M20/20</f>
        <v>0</v>
      </c>
      <c r="S20">
        <f t="shared" ref="S20" si="14">N20/20</f>
        <v>0</v>
      </c>
      <c r="T20">
        <f t="shared" ref="T20" si="15">O20/20</f>
        <v>0</v>
      </c>
    </row>
    <row r="21" spans="1:20" x14ac:dyDescent="0.35">
      <c r="A21" s="1">
        <v>2012</v>
      </c>
      <c r="B21">
        <v>21.162447613608759</v>
      </c>
      <c r="C21">
        <v>1.999699262333104</v>
      </c>
      <c r="D21">
        <v>7.0225776918344236</v>
      </c>
      <c r="E21">
        <v>12.14017065944123</v>
      </c>
      <c r="G21">
        <v>21.3305115500632</v>
      </c>
      <c r="H21">
        <v>2.0284014195468849</v>
      </c>
      <c r="I21">
        <v>7.090116955630247</v>
      </c>
      <c r="J21">
        <v>12.21199317488607</v>
      </c>
    </row>
    <row r="22" spans="1:20" x14ac:dyDescent="0.35">
      <c r="A22" s="1">
        <v>2013</v>
      </c>
      <c r="B22">
        <v>21.591743180826839</v>
      </c>
      <c r="C22">
        <v>2.3120607814991478</v>
      </c>
      <c r="D22">
        <v>7.1770551866779408</v>
      </c>
      <c r="E22">
        <v>12.10262721264975</v>
      </c>
      <c r="G22">
        <v>22.13002101798029</v>
      </c>
      <c r="H22">
        <v>2.4629774984779522</v>
      </c>
      <c r="I22">
        <v>7.298293516611964</v>
      </c>
      <c r="J22">
        <v>12.36875000289038</v>
      </c>
      <c r="L22">
        <f t="shared" ref="L22" si="16">100-((B22/G22)*100)</f>
        <v>2.4323421867340755</v>
      </c>
      <c r="M22">
        <f t="shared" ref="M22" si="17">100-((C22/H22)*100)</f>
        <v>6.1274094900203693</v>
      </c>
      <c r="N22">
        <f t="shared" ref="N22" si="18">100-((D22/I22)*100)</f>
        <v>1.6611873674040112</v>
      </c>
      <c r="O22">
        <f t="shared" ref="O22" si="19">100-((E22/J22)*100)</f>
        <v>2.151573846819133</v>
      </c>
      <c r="Q22">
        <f t="shared" ref="Q22" si="20">L22/20</f>
        <v>0.12161710933670378</v>
      </c>
      <c r="R22">
        <f t="shared" ref="R22" si="21">M22/20</f>
        <v>0.30637047450101845</v>
      </c>
      <c r="S22">
        <f t="shared" ref="S22" si="22">N22/20</f>
        <v>8.3059368370200559E-2</v>
      </c>
      <c r="T22">
        <f t="shared" ref="T22" si="23">O22/20</f>
        <v>0.10757869234095666</v>
      </c>
    </row>
    <row r="23" spans="1:20" x14ac:dyDescent="0.35">
      <c r="A23" s="1">
        <v>2014</v>
      </c>
      <c r="B23">
        <v>22.255457259994451</v>
      </c>
      <c r="C23">
        <v>2.7910141423569792</v>
      </c>
      <c r="D23">
        <v>7.364760459652425</v>
      </c>
      <c r="E23">
        <v>12.099682657985049</v>
      </c>
      <c r="G23">
        <v>22.97314419261081</v>
      </c>
      <c r="H23">
        <v>3.1310388147777131</v>
      </c>
      <c r="I23">
        <v>7.5434627229722038</v>
      </c>
      <c r="J23">
        <v>12.29864265486089</v>
      </c>
    </row>
    <row r="24" spans="1:20" x14ac:dyDescent="0.35">
      <c r="A24" s="1">
        <v>2015</v>
      </c>
      <c r="B24">
        <v>23.119148605382531</v>
      </c>
      <c r="C24">
        <v>3.4528785475692119</v>
      </c>
      <c r="D24">
        <v>7.5482118909349181</v>
      </c>
      <c r="E24">
        <v>12.1180581668784</v>
      </c>
      <c r="G24">
        <v>24.573651322901309</v>
      </c>
      <c r="H24">
        <v>4.0732191070978176</v>
      </c>
      <c r="I24">
        <v>7.8087442543173351</v>
      </c>
      <c r="J24">
        <v>12.691687961486149</v>
      </c>
      <c r="L24">
        <f t="shared" ref="L24" si="24">100-((B24/G24)*100)</f>
        <v>5.9189523705956475</v>
      </c>
      <c r="M24">
        <f t="shared" ref="M24" si="25">100-((C24/H24)*100)</f>
        <v>15.229737051160015</v>
      </c>
      <c r="N24">
        <f t="shared" ref="N24" si="26">100-((D24/I24)*100)</f>
        <v>3.336418185784126</v>
      </c>
      <c r="O24">
        <f t="shared" ref="O24" si="27">100-((E24/J24)*100)</f>
        <v>4.5197281586851972</v>
      </c>
      <c r="Q24">
        <f t="shared" ref="Q24" si="28">L24/20</f>
        <v>0.29594761852978235</v>
      </c>
      <c r="R24">
        <f t="shared" ref="R24" si="29">M24/20</f>
        <v>0.76148685255800075</v>
      </c>
      <c r="S24">
        <f t="shared" ref="S24" si="30">N24/20</f>
        <v>0.16682090928920629</v>
      </c>
      <c r="T24">
        <f t="shared" ref="T24" si="31">O24/20</f>
        <v>0.22598640793425986</v>
      </c>
    </row>
    <row r="25" spans="1:20" x14ac:dyDescent="0.35">
      <c r="A25" s="1">
        <v>2016</v>
      </c>
      <c r="B25">
        <v>24.218328628872442</v>
      </c>
      <c r="C25">
        <v>4.3972189147432639</v>
      </c>
      <c r="D25">
        <v>7.7453613290625798</v>
      </c>
      <c r="E25">
        <v>12.0757483850666</v>
      </c>
      <c r="G25">
        <v>25.977524821391039</v>
      </c>
      <c r="H25">
        <v>5.3596969441195439</v>
      </c>
      <c r="I25">
        <v>8.0651937964812177</v>
      </c>
      <c r="J25">
        <v>12.552634080790281</v>
      </c>
    </row>
    <row r="26" spans="1:20" x14ac:dyDescent="0.35">
      <c r="A26" s="1">
        <v>2017</v>
      </c>
      <c r="B26">
        <v>25.928832188284861</v>
      </c>
      <c r="C26">
        <v>5.6783602851271269</v>
      </c>
      <c r="D26">
        <v>7.99018269589995</v>
      </c>
      <c r="E26">
        <v>12.26028920725779</v>
      </c>
      <c r="G26">
        <v>27.799891727129971</v>
      </c>
      <c r="H26">
        <v>7.0445529421760362</v>
      </c>
      <c r="I26">
        <v>8.26503796559496</v>
      </c>
      <c r="J26">
        <v>12.49030081935898</v>
      </c>
      <c r="L26">
        <f t="shared" ref="L26" si="32">100-((B26/G26)*100)</f>
        <v>6.7304562090043589</v>
      </c>
      <c r="M26">
        <f t="shared" ref="M26" si="33">100-((C26/H26)*100)</f>
        <v>19.393603373600271</v>
      </c>
      <c r="N26">
        <f t="shared" ref="N26" si="34">100-((D26/I26)*100)</f>
        <v>3.3255173277987922</v>
      </c>
      <c r="O26">
        <f t="shared" ref="O26" si="35">100-((E26/J26)*100)</f>
        <v>1.8415217970146074</v>
      </c>
      <c r="Q26">
        <f t="shared" ref="Q26" si="36">L26/20</f>
        <v>0.33652281045021792</v>
      </c>
      <c r="R26">
        <f t="shared" ref="R26" si="37">M26/20</f>
        <v>0.96968016868001361</v>
      </c>
      <c r="S26">
        <f t="shared" ref="S26" si="38">N26/20</f>
        <v>0.1662758663899396</v>
      </c>
      <c r="T26">
        <f t="shared" ref="T26" si="39">O26/20</f>
        <v>9.2076089850730375E-2</v>
      </c>
    </row>
    <row r="27" spans="1:20" x14ac:dyDescent="0.35">
      <c r="A27" s="1">
        <v>2018</v>
      </c>
      <c r="B27">
        <v>27.790397737195271</v>
      </c>
      <c r="C27">
        <v>7.3826198635676121</v>
      </c>
      <c r="D27">
        <v>8.1783727919230067</v>
      </c>
      <c r="E27">
        <v>12.22940508170465</v>
      </c>
      <c r="G27">
        <v>30.12161282012033</v>
      </c>
      <c r="H27">
        <v>9.1609280336213459</v>
      </c>
      <c r="I27">
        <v>8.4782832436802948</v>
      </c>
      <c r="J27">
        <v>12.482401542818691</v>
      </c>
    </row>
    <row r="28" spans="1:20" x14ac:dyDescent="0.35">
      <c r="A28" s="1">
        <v>2019</v>
      </c>
      <c r="B28">
        <v>29.98153449404013</v>
      </c>
      <c r="C28">
        <v>9.5452984970777663</v>
      </c>
      <c r="D28">
        <v>8.3375807431966908</v>
      </c>
      <c r="E28">
        <v>12.098655253765671</v>
      </c>
      <c r="G28">
        <v>32.895768935316319</v>
      </c>
      <c r="H28">
        <v>11.77849027936213</v>
      </c>
      <c r="I28">
        <v>8.6756781687457796</v>
      </c>
      <c r="J28">
        <v>12.441600487208399</v>
      </c>
      <c r="L28">
        <f t="shared" ref="L28:L31" si="40">100-((B28/G28)*100)</f>
        <v>8.8589947449062834</v>
      </c>
      <c r="M28">
        <f t="shared" ref="M28:M31" si="41">100-((C28/H28)*100)</f>
        <v>18.959915314420954</v>
      </c>
      <c r="N28">
        <f t="shared" ref="N28:N31" si="42">100-((D28/I28)*100)</f>
        <v>3.8970720095068572</v>
      </c>
      <c r="O28">
        <f t="shared" ref="O28:O31" si="43">100-((E28/J28)*100)</f>
        <v>2.7564398470704958</v>
      </c>
      <c r="Q28">
        <f t="shared" ref="Q28:Q31" si="44">L28/20</f>
        <v>0.44294973724531417</v>
      </c>
      <c r="R28">
        <f t="shared" ref="R28:R31" si="45">M28/20</f>
        <v>0.94799576572104771</v>
      </c>
      <c r="S28">
        <f t="shared" ref="S28:S31" si="46">N28/20</f>
        <v>0.19485360047534286</v>
      </c>
      <c r="T28">
        <f t="shared" ref="T28:T31" si="47">O28/20</f>
        <v>0.1378219923535248</v>
      </c>
    </row>
    <row r="29" spans="1:20" x14ac:dyDescent="0.35">
      <c r="A29" s="1">
        <v>2020</v>
      </c>
      <c r="B29">
        <v>32.776683514361252</v>
      </c>
      <c r="C29">
        <v>12.22866575926504</v>
      </c>
      <c r="D29">
        <v>8.5458607358852117</v>
      </c>
      <c r="E29">
        <v>12.002157019210991</v>
      </c>
      <c r="G29">
        <v>35.990110071055582</v>
      </c>
      <c r="H29">
        <v>14.91410109823895</v>
      </c>
      <c r="I29">
        <v>8.8356292280239277</v>
      </c>
      <c r="J29">
        <v>12.240379744792699</v>
      </c>
      <c r="L29">
        <f t="shared" si="40"/>
        <v>8.9286377572895219</v>
      </c>
      <c r="M29">
        <f t="shared" si="41"/>
        <v>18.006015389630193</v>
      </c>
      <c r="N29">
        <f t="shared" si="42"/>
        <v>3.279545628959383</v>
      </c>
      <c r="O29">
        <f t="shared" si="43"/>
        <v>1.9462037171114162</v>
      </c>
      <c r="Q29">
        <f t="shared" si="44"/>
        <v>0.44643188786447607</v>
      </c>
      <c r="R29">
        <f t="shared" si="45"/>
        <v>0.90030076948150961</v>
      </c>
      <c r="S29">
        <f t="shared" si="46"/>
        <v>0.16397728144796914</v>
      </c>
      <c r="T29">
        <f t="shared" si="47"/>
        <v>9.7310185855570802E-2</v>
      </c>
    </row>
    <row r="30" spans="1:20" x14ac:dyDescent="0.35">
      <c r="A30" s="1">
        <v>2021</v>
      </c>
      <c r="B30">
        <v>35.935364148952118</v>
      </c>
      <c r="C30">
        <v>15.40840375926093</v>
      </c>
      <c r="D30">
        <v>8.7214303521119021</v>
      </c>
      <c r="E30">
        <v>11.805530037579279</v>
      </c>
      <c r="G30">
        <v>39.743505838452641</v>
      </c>
      <c r="H30">
        <v>18.56649159909319</v>
      </c>
      <c r="I30">
        <v>8.9676694092955582</v>
      </c>
      <c r="J30">
        <v>12.2093448300639</v>
      </c>
      <c r="L30">
        <f t="shared" si="40"/>
        <v>9.5817960926236907</v>
      </c>
      <c r="M30">
        <f t="shared" si="41"/>
        <v>17.009610151583544</v>
      </c>
      <c r="N30">
        <f t="shared" si="42"/>
        <v>2.7458534201585678</v>
      </c>
      <c r="O30">
        <f t="shared" si="43"/>
        <v>3.3074239290078964</v>
      </c>
      <c r="Q30">
        <f t="shared" si="44"/>
        <v>0.47908980463118456</v>
      </c>
      <c r="R30">
        <f t="shared" si="45"/>
        <v>0.85048050757917726</v>
      </c>
      <c r="S30">
        <f t="shared" si="46"/>
        <v>0.13729267100792839</v>
      </c>
      <c r="T30">
        <f t="shared" si="47"/>
        <v>0.16537119645039483</v>
      </c>
    </row>
    <row r="31" spans="1:20" x14ac:dyDescent="0.35">
      <c r="A31" s="1">
        <v>2022</v>
      </c>
      <c r="B31">
        <v>39.482984357484447</v>
      </c>
      <c r="C31">
        <v>18.99973668948746</v>
      </c>
      <c r="D31">
        <v>8.8307808681405646</v>
      </c>
      <c r="E31">
        <v>11.652466799856439</v>
      </c>
      <c r="G31">
        <v>43.702402413068533</v>
      </c>
      <c r="H31">
        <v>22.502685299459849</v>
      </c>
      <c r="I31">
        <v>9.074662053962772</v>
      </c>
      <c r="J31">
        <v>12.1250550596459</v>
      </c>
      <c r="L31">
        <f t="shared" si="40"/>
        <v>9.6548881127924773</v>
      </c>
      <c r="M31">
        <f t="shared" si="41"/>
        <v>15.566802643133769</v>
      </c>
      <c r="N31">
        <f t="shared" si="42"/>
        <v>2.6874960673131483</v>
      </c>
      <c r="O31">
        <f t="shared" si="43"/>
        <v>3.8976174331967286</v>
      </c>
      <c r="Q31" s="16">
        <f t="shared" si="44"/>
        <v>0.48274440563962384</v>
      </c>
      <c r="R31" s="16">
        <f t="shared" si="45"/>
        <v>0.77834013215668851</v>
      </c>
      <c r="S31" s="16">
        <f t="shared" si="46"/>
        <v>0.13437480336565741</v>
      </c>
      <c r="T31" s="16">
        <f t="shared" si="47"/>
        <v>0.19488087165983642</v>
      </c>
    </row>
    <row r="33" spans="1:20" x14ac:dyDescent="0.35">
      <c r="G33" s="4" t="s">
        <v>103</v>
      </c>
      <c r="L33" s="4" t="s">
        <v>98</v>
      </c>
      <c r="Q33" s="4" t="s">
        <v>99</v>
      </c>
    </row>
    <row r="35" spans="1:20" x14ac:dyDescent="0.35">
      <c r="A35" s="1">
        <v>2011</v>
      </c>
      <c r="B35">
        <v>20.6</v>
      </c>
      <c r="C35">
        <v>1.8</v>
      </c>
      <c r="D35">
        <v>6.9</v>
      </c>
      <c r="E35">
        <v>11.9</v>
      </c>
      <c r="G35">
        <v>20.6</v>
      </c>
      <c r="H35">
        <v>1.8</v>
      </c>
      <c r="I35">
        <v>6.9</v>
      </c>
      <c r="J35">
        <v>11.9</v>
      </c>
      <c r="L35">
        <f>100-((B35/G35)*100)</f>
        <v>0</v>
      </c>
      <c r="M35">
        <f t="shared" ref="M35" si="48">100-((C35/H35)*100)</f>
        <v>0</v>
      </c>
      <c r="N35">
        <f t="shared" ref="N35" si="49">100-((D35/I35)*100)</f>
        <v>0</v>
      </c>
      <c r="O35">
        <f t="shared" ref="O35" si="50">100-((E35/J35)*100)</f>
        <v>0</v>
      </c>
      <c r="Q35">
        <f>L35/20</f>
        <v>0</v>
      </c>
      <c r="R35">
        <f t="shared" ref="R35" si="51">M35/20</f>
        <v>0</v>
      </c>
      <c r="S35">
        <f t="shared" ref="S35" si="52">N35/20</f>
        <v>0</v>
      </c>
      <c r="T35">
        <f t="shared" ref="T35" si="53">O35/20</f>
        <v>0</v>
      </c>
    </row>
    <row r="36" spans="1:20" x14ac:dyDescent="0.35">
      <c r="A36" s="1">
        <v>2012</v>
      </c>
      <c r="B36">
        <v>21.162447613608759</v>
      </c>
      <c r="C36">
        <v>1.999699262333104</v>
      </c>
      <c r="D36">
        <v>7.0225776918344236</v>
      </c>
      <c r="E36">
        <v>12.14017065944123</v>
      </c>
      <c r="G36">
        <v>21.125425442861388</v>
      </c>
      <c r="H36">
        <v>2.039725947086021</v>
      </c>
      <c r="I36">
        <v>7.0573174718730369</v>
      </c>
      <c r="J36">
        <v>12.02838202390233</v>
      </c>
    </row>
    <row r="37" spans="1:20" x14ac:dyDescent="0.35">
      <c r="A37" s="1">
        <v>2013</v>
      </c>
      <c r="B37">
        <v>21.591743180826839</v>
      </c>
      <c r="C37">
        <v>2.3120607814991478</v>
      </c>
      <c r="D37">
        <v>7.1770551866779408</v>
      </c>
      <c r="E37">
        <v>12.10262721264975</v>
      </c>
      <c r="G37">
        <v>21.94615555749505</v>
      </c>
      <c r="H37">
        <v>2.4271458993391559</v>
      </c>
      <c r="I37">
        <v>7.2656511949331808</v>
      </c>
      <c r="J37">
        <v>12.25335846322271</v>
      </c>
      <c r="L37">
        <f t="shared" ref="L37" si="54">100-((B37/G37)*100)</f>
        <v>1.6149178189305786</v>
      </c>
      <c r="M37">
        <f t="shared" ref="M37" si="55">100-((C37/H37)*100)</f>
        <v>4.7415821962471369</v>
      </c>
      <c r="N37">
        <f t="shared" ref="N37" si="56">100-((D37/I37)*100)</f>
        <v>1.21938152380649</v>
      </c>
      <c r="O37">
        <f t="shared" ref="O37" si="57">100-((E37/J37)*100)</f>
        <v>1.2301219377966106</v>
      </c>
      <c r="Q37">
        <f t="shared" ref="Q37" si="58">L37/20</f>
        <v>8.0745890946528925E-2</v>
      </c>
      <c r="R37">
        <f t="shared" ref="R37" si="59">M37/20</f>
        <v>0.23707910981235686</v>
      </c>
      <c r="S37">
        <f t="shared" ref="S37" si="60">N37/20</f>
        <v>6.0969076190324503E-2</v>
      </c>
      <c r="T37">
        <f t="shared" ref="T37" si="61">O37/20</f>
        <v>6.1506096889830532E-2</v>
      </c>
    </row>
    <row r="38" spans="1:20" x14ac:dyDescent="0.35">
      <c r="A38" s="1">
        <v>2014</v>
      </c>
      <c r="B38">
        <v>22.255457259994451</v>
      </c>
      <c r="C38">
        <v>2.7910141423569792</v>
      </c>
      <c r="D38">
        <v>7.364760459652425</v>
      </c>
      <c r="E38">
        <v>12.099682657985049</v>
      </c>
      <c r="G38">
        <v>23.224078302448561</v>
      </c>
      <c r="H38">
        <v>3.0286646074001591</v>
      </c>
      <c r="I38">
        <v>7.6377649799616893</v>
      </c>
      <c r="J38">
        <v>12.55764871508671</v>
      </c>
    </row>
    <row r="39" spans="1:20" x14ac:dyDescent="0.35">
      <c r="A39" s="1">
        <v>2015</v>
      </c>
      <c r="B39">
        <v>23.119148605382531</v>
      </c>
      <c r="C39">
        <v>3.4528785475692119</v>
      </c>
      <c r="D39">
        <v>7.5482118909349181</v>
      </c>
      <c r="E39">
        <v>12.1180581668784</v>
      </c>
      <c r="G39">
        <v>24.67062052076626</v>
      </c>
      <c r="H39">
        <v>3.9254654158154052</v>
      </c>
      <c r="I39">
        <v>8.0441521930593645</v>
      </c>
      <c r="J39">
        <v>12.701002911891489</v>
      </c>
      <c r="L39">
        <f t="shared" ref="L39" si="62">100-((B39/G39)*100)</f>
        <v>6.2887429770069616</v>
      </c>
      <c r="M39">
        <f t="shared" ref="M39" si="63">100-((C39/H39)*100)</f>
        <v>12.039002212124359</v>
      </c>
      <c r="N39">
        <f t="shared" ref="N39" si="64">100-((D39/I39)*100)</f>
        <v>6.1652277358992791</v>
      </c>
      <c r="O39">
        <f t="shared" ref="O39" si="65">100-((E39/J39)*100)</f>
        <v>4.5897536521883495</v>
      </c>
      <c r="Q39">
        <f t="shared" ref="Q39" si="66">L39/20</f>
        <v>0.31443714885034807</v>
      </c>
      <c r="R39">
        <f t="shared" ref="R39" si="67">M39/20</f>
        <v>0.60195011060621795</v>
      </c>
      <c r="S39">
        <f t="shared" ref="S39" si="68">N39/20</f>
        <v>0.30826138679496395</v>
      </c>
      <c r="T39">
        <f t="shared" ref="T39" si="69">O39/20</f>
        <v>0.22948768260941749</v>
      </c>
    </row>
    <row r="40" spans="1:20" x14ac:dyDescent="0.35">
      <c r="A40" s="1">
        <v>2016</v>
      </c>
      <c r="B40">
        <v>24.218328628872442</v>
      </c>
      <c r="C40">
        <v>4.3972189147432639</v>
      </c>
      <c r="D40">
        <v>7.7453613290625798</v>
      </c>
      <c r="E40">
        <v>12.0757483850666</v>
      </c>
      <c r="G40">
        <v>26.30407092674384</v>
      </c>
      <c r="H40">
        <v>5.1560011131152192</v>
      </c>
      <c r="I40">
        <v>8.3999512249834698</v>
      </c>
      <c r="J40">
        <v>12.74811858864515</v>
      </c>
    </row>
    <row r="41" spans="1:20" x14ac:dyDescent="0.35">
      <c r="A41" s="1">
        <v>2017</v>
      </c>
      <c r="B41">
        <v>25.928832188284861</v>
      </c>
      <c r="C41">
        <v>5.6783602851271269</v>
      </c>
      <c r="D41">
        <v>7.99018269589995</v>
      </c>
      <c r="E41">
        <v>12.26028920725779</v>
      </c>
      <c r="G41">
        <v>28.653906848499901</v>
      </c>
      <c r="H41">
        <v>6.7834469491523413</v>
      </c>
      <c r="I41">
        <v>8.8253381347553539</v>
      </c>
      <c r="J41">
        <v>13.04512176459221</v>
      </c>
      <c r="L41">
        <f t="shared" ref="L41" si="70">100-((B41/G41)*100)</f>
        <v>9.5103075284747973</v>
      </c>
      <c r="M41">
        <f t="shared" ref="M41" si="71">100-((C41/H41)*100)</f>
        <v>16.290931031211286</v>
      </c>
      <c r="N41">
        <f t="shared" ref="N41" si="72">100-((D41/I41)*100)</f>
        <v>9.4631551347188747</v>
      </c>
      <c r="O41">
        <f t="shared" ref="O41" si="73">100-((E41/J41)*100)</f>
        <v>6.0162915417520679</v>
      </c>
      <c r="Q41">
        <f t="shared" ref="Q41" si="74">L41/20</f>
        <v>0.47551537642373987</v>
      </c>
      <c r="R41">
        <f t="shared" ref="R41" si="75">M41/20</f>
        <v>0.81454655156056432</v>
      </c>
      <c r="S41">
        <f t="shared" ref="S41" si="76">N41/20</f>
        <v>0.47315775673594374</v>
      </c>
      <c r="T41">
        <f t="shared" ref="T41" si="77">O41/20</f>
        <v>0.3008145770876034</v>
      </c>
    </row>
    <row r="42" spans="1:20" x14ac:dyDescent="0.35">
      <c r="A42" s="1">
        <v>2018</v>
      </c>
      <c r="B42">
        <v>27.790397737195271</v>
      </c>
      <c r="C42">
        <v>7.3826198635676121</v>
      </c>
      <c r="D42">
        <v>8.1783727919230067</v>
      </c>
      <c r="E42">
        <v>12.22940508170465</v>
      </c>
      <c r="G42">
        <v>31.062548080886842</v>
      </c>
      <c r="H42">
        <v>8.9250714933804929</v>
      </c>
      <c r="I42">
        <v>9.1804852476335341</v>
      </c>
      <c r="J42">
        <v>12.956991339872809</v>
      </c>
    </row>
    <row r="43" spans="1:20" x14ac:dyDescent="0.35">
      <c r="A43" s="1">
        <v>2019</v>
      </c>
      <c r="B43">
        <v>29.98153449404013</v>
      </c>
      <c r="C43">
        <v>9.5452984970777663</v>
      </c>
      <c r="D43">
        <v>8.3375807431966908</v>
      </c>
      <c r="E43">
        <v>12.098655253765671</v>
      </c>
      <c r="G43">
        <v>34.276059227716971</v>
      </c>
      <c r="H43">
        <v>11.589200285887991</v>
      </c>
      <c r="I43">
        <v>9.4752389313976622</v>
      </c>
      <c r="J43">
        <v>13.21162001043132</v>
      </c>
      <c r="L43">
        <f t="shared" ref="L43:L46" si="78">100-((B43/G43)*100)</f>
        <v>12.52922544317498</v>
      </c>
      <c r="M43">
        <f t="shared" ref="M43:M46" si="79">100-((C43/H43)*100)</f>
        <v>17.636262540902464</v>
      </c>
      <c r="N43">
        <f t="shared" ref="N43:N46" si="80">100-((D43/I43)*100)</f>
        <v>12.006643805373244</v>
      </c>
      <c r="O43">
        <f t="shared" ref="O43:O46" si="81">100-((E43/J43)*100)</f>
        <v>8.4241353882937915</v>
      </c>
      <c r="Q43">
        <f t="shared" ref="Q43:Q46" si="82">L43/20</f>
        <v>0.62646127215874903</v>
      </c>
      <c r="R43">
        <f t="shared" ref="R43:R46" si="83">M43/20</f>
        <v>0.88181312704512327</v>
      </c>
      <c r="S43">
        <f t="shared" ref="S43:S46" si="84">N43/20</f>
        <v>0.60033219026866225</v>
      </c>
      <c r="T43">
        <f t="shared" ref="T43:T46" si="85">O43/20</f>
        <v>0.4212067694146896</v>
      </c>
    </row>
    <row r="44" spans="1:20" x14ac:dyDescent="0.35">
      <c r="A44" s="1">
        <v>2020</v>
      </c>
      <c r="B44">
        <v>32.776683514361252</v>
      </c>
      <c r="C44">
        <v>12.22866575926504</v>
      </c>
      <c r="D44">
        <v>8.5458607358852117</v>
      </c>
      <c r="E44">
        <v>12.002157019210991</v>
      </c>
      <c r="G44">
        <v>37.440822521951993</v>
      </c>
      <c r="H44">
        <v>14.686663289598551</v>
      </c>
      <c r="I44">
        <v>9.7546249547761228</v>
      </c>
      <c r="J44">
        <v>12.99953427757732</v>
      </c>
      <c r="L44">
        <f t="shared" si="78"/>
        <v>12.45736256156259</v>
      </c>
      <c r="M44">
        <f t="shared" si="79"/>
        <v>16.736255757114847</v>
      </c>
      <c r="N44">
        <f t="shared" si="80"/>
        <v>12.391703673846195</v>
      </c>
      <c r="O44">
        <f t="shared" si="81"/>
        <v>7.6724076191459289</v>
      </c>
      <c r="Q44">
        <f t="shared" si="82"/>
        <v>0.62286812807812952</v>
      </c>
      <c r="R44">
        <f t="shared" si="83"/>
        <v>0.83681278785574231</v>
      </c>
      <c r="S44">
        <f t="shared" si="84"/>
        <v>0.61958518369230975</v>
      </c>
      <c r="T44">
        <f t="shared" si="85"/>
        <v>0.38362038095729645</v>
      </c>
    </row>
    <row r="45" spans="1:20" x14ac:dyDescent="0.35">
      <c r="A45" s="1">
        <v>2021</v>
      </c>
      <c r="B45">
        <v>35.935364148952118</v>
      </c>
      <c r="C45">
        <v>15.40840375926093</v>
      </c>
      <c r="D45">
        <v>8.7214303521119021</v>
      </c>
      <c r="E45">
        <v>11.805530037579279</v>
      </c>
      <c r="G45">
        <v>41.027183944229023</v>
      </c>
      <c r="H45">
        <v>18.154741792174239</v>
      </c>
      <c r="I45">
        <v>10.0144610349454</v>
      </c>
      <c r="J45">
        <v>12.857981117109389</v>
      </c>
      <c r="L45">
        <f t="shared" si="78"/>
        <v>12.410843996016283</v>
      </c>
      <c r="M45">
        <f t="shared" si="79"/>
        <v>15.127386907243931</v>
      </c>
      <c r="N45">
        <f t="shared" si="80"/>
        <v>12.911635267454486</v>
      </c>
      <c r="O45">
        <f t="shared" si="81"/>
        <v>8.1851969601174233</v>
      </c>
      <c r="Q45">
        <f t="shared" si="82"/>
        <v>0.62054219980081415</v>
      </c>
      <c r="R45">
        <f t="shared" si="83"/>
        <v>0.75636934536219658</v>
      </c>
      <c r="S45">
        <f t="shared" si="84"/>
        <v>0.64558176337272433</v>
      </c>
      <c r="T45">
        <f t="shared" si="85"/>
        <v>0.40925984800587117</v>
      </c>
    </row>
    <row r="46" spans="1:20" x14ac:dyDescent="0.35">
      <c r="A46" s="1">
        <v>2022</v>
      </c>
      <c r="B46">
        <v>39.482984357484447</v>
      </c>
      <c r="C46">
        <v>18.99973668948746</v>
      </c>
      <c r="D46">
        <v>8.8307808681405646</v>
      </c>
      <c r="E46">
        <v>11.652466799856439</v>
      </c>
      <c r="G46">
        <v>45.254409300762127</v>
      </c>
      <c r="H46">
        <v>21.912936540568069</v>
      </c>
      <c r="I46">
        <v>10.169019327358511</v>
      </c>
      <c r="J46">
        <v>13.17245343283555</v>
      </c>
      <c r="L46">
        <f t="shared" si="78"/>
        <v>12.753287541376622</v>
      </c>
      <c r="M46">
        <f t="shared" si="79"/>
        <v>13.294429277825529</v>
      </c>
      <c r="N46">
        <f t="shared" si="80"/>
        <v>13.159955902705164</v>
      </c>
      <c r="O46">
        <f t="shared" si="81"/>
        <v>11.539130813627878</v>
      </c>
      <c r="Q46" s="16">
        <f t="shared" si="82"/>
        <v>0.63766437706883106</v>
      </c>
      <c r="R46" s="16">
        <f t="shared" si="83"/>
        <v>0.6647214638912764</v>
      </c>
      <c r="S46" s="16">
        <f t="shared" si="84"/>
        <v>0.65799779513525825</v>
      </c>
      <c r="T46" s="16">
        <f t="shared" si="85"/>
        <v>0.5769565406813939</v>
      </c>
    </row>
    <row r="48" spans="1:20" x14ac:dyDescent="0.35">
      <c r="G48" s="4" t="s">
        <v>104</v>
      </c>
    </row>
    <row r="50" spans="1:20" x14ac:dyDescent="0.35">
      <c r="A50" s="1">
        <v>2011</v>
      </c>
      <c r="B50">
        <v>20.6</v>
      </c>
      <c r="C50">
        <v>1.8</v>
      </c>
      <c r="D50">
        <v>6.9</v>
      </c>
      <c r="E50">
        <v>11.9</v>
      </c>
      <c r="G50">
        <v>20.6</v>
      </c>
      <c r="H50">
        <v>2.1</v>
      </c>
      <c r="I50">
        <v>6.75</v>
      </c>
      <c r="J50">
        <v>11.75</v>
      </c>
      <c r="L50">
        <f>100-((B50/G50)*100)</f>
        <v>0</v>
      </c>
      <c r="M50">
        <f t="shared" ref="M50" si="86">100-((C50/H50)*100)</f>
        <v>14.285714285714292</v>
      </c>
      <c r="N50">
        <f t="shared" ref="N50" si="87">100-((D50/I50)*100)</f>
        <v>-2.2222222222222427</v>
      </c>
      <c r="O50">
        <f t="shared" ref="O50" si="88">100-((E50/J50)*100)</f>
        <v>-1.2765957446808613</v>
      </c>
      <c r="Q50">
        <f>L50/20</f>
        <v>0</v>
      </c>
      <c r="R50">
        <f t="shared" ref="R50" si="89">M50/20</f>
        <v>0.71428571428571463</v>
      </c>
      <c r="S50">
        <f t="shared" ref="S50" si="90">N50/20</f>
        <v>-0.11111111111111213</v>
      </c>
      <c r="T50">
        <f t="shared" ref="T50" si="91">O50/20</f>
        <v>-6.3829787234043062E-2</v>
      </c>
    </row>
    <row r="51" spans="1:20" x14ac:dyDescent="0.35">
      <c r="A51" s="1">
        <v>2012</v>
      </c>
      <c r="B51">
        <v>21.162447613608759</v>
      </c>
      <c r="C51">
        <v>1.999699262333104</v>
      </c>
      <c r="D51">
        <v>7.0225776918344236</v>
      </c>
      <c r="E51">
        <v>12.14017065944123</v>
      </c>
      <c r="G51">
        <v>20.830267741832898</v>
      </c>
      <c r="H51">
        <v>2.299885761341419</v>
      </c>
      <c r="I51">
        <v>6.8392488461529766</v>
      </c>
      <c r="J51">
        <v>11.6911331343385</v>
      </c>
    </row>
    <row r="52" spans="1:20" x14ac:dyDescent="0.35">
      <c r="A52" s="1">
        <v>2013</v>
      </c>
      <c r="B52">
        <v>21.591743180826839</v>
      </c>
      <c r="C52">
        <v>2.3120607814991478</v>
      </c>
      <c r="D52">
        <v>7.1770551866779408</v>
      </c>
      <c r="E52">
        <v>12.10262721264975</v>
      </c>
      <c r="G52">
        <v>21.2728812373003</v>
      </c>
      <c r="H52">
        <v>2.6249179252660202</v>
      </c>
      <c r="I52">
        <v>6.9829740933787336</v>
      </c>
      <c r="J52">
        <v>11.66498921865554</v>
      </c>
      <c r="L52">
        <f t="shared" ref="L52" si="92">100-((B52/G52)*100)</f>
        <v>-1.4989128175427311</v>
      </c>
      <c r="M52">
        <f t="shared" ref="M52" si="93">100-((C52/H52)*100)</f>
        <v>11.918740039659184</v>
      </c>
      <c r="N52">
        <f t="shared" ref="N52" si="94">100-((D52/I52)*100)</f>
        <v>-2.7793471764879598</v>
      </c>
      <c r="O52">
        <f t="shared" ref="O52" si="95">100-((E52/J52)*100)</f>
        <v>-3.7517222330073423</v>
      </c>
      <c r="Q52">
        <f t="shared" ref="Q52" si="96">L52/20</f>
        <v>-7.4945640877136552E-2</v>
      </c>
      <c r="R52">
        <f t="shared" ref="R52" si="97">M52/20</f>
        <v>0.59593700198295918</v>
      </c>
      <c r="S52">
        <f t="shared" ref="S52" si="98">N52/20</f>
        <v>-0.13896735882439798</v>
      </c>
      <c r="T52">
        <f t="shared" ref="T52" si="99">O52/20</f>
        <v>-0.18758611165036712</v>
      </c>
    </row>
    <row r="53" spans="1:20" x14ac:dyDescent="0.35">
      <c r="A53" s="1">
        <v>2014</v>
      </c>
      <c r="B53">
        <v>22.255457259994451</v>
      </c>
      <c r="C53">
        <v>2.7910141423569792</v>
      </c>
      <c r="D53">
        <v>7.364760459652425</v>
      </c>
      <c r="E53">
        <v>12.099682657985049</v>
      </c>
      <c r="G53">
        <v>22.170583401733861</v>
      </c>
      <c r="H53">
        <v>3.128949356952142</v>
      </c>
      <c r="I53">
        <v>7.195763850401339</v>
      </c>
      <c r="J53">
        <v>11.84587019438038</v>
      </c>
    </row>
    <row r="54" spans="1:20" x14ac:dyDescent="0.35">
      <c r="A54" s="1">
        <v>2015</v>
      </c>
      <c r="B54">
        <v>23.119148605382531</v>
      </c>
      <c r="C54">
        <v>3.4528785475692119</v>
      </c>
      <c r="D54">
        <v>7.5482118909349181</v>
      </c>
      <c r="E54">
        <v>12.1180581668784</v>
      </c>
      <c r="G54">
        <v>23.10278746045282</v>
      </c>
      <c r="H54">
        <v>3.8708485739807221</v>
      </c>
      <c r="I54">
        <v>7.3701896575424053</v>
      </c>
      <c r="J54">
        <v>11.861749228929691</v>
      </c>
      <c r="L54">
        <f t="shared" ref="L54" si="100">100-((B54/G54)*100)</f>
        <v>-7.0818921559649084E-2</v>
      </c>
      <c r="M54">
        <f t="shared" ref="M54" si="101">100-((C54/H54)*100)</f>
        <v>10.797891429312003</v>
      </c>
      <c r="N54">
        <f t="shared" ref="N54" si="102">100-((D54/I54)*100)</f>
        <v>-2.4154362596399608</v>
      </c>
      <c r="O54">
        <f t="shared" ref="O54" si="103">100-((E54/J54)*100)</f>
        <v>-2.1608021970620968</v>
      </c>
      <c r="Q54">
        <f t="shared" ref="Q54" si="104">L54/20</f>
        <v>-3.5409460779824544E-3</v>
      </c>
      <c r="R54">
        <f t="shared" ref="R54" si="105">M54/20</f>
        <v>0.53989457146560016</v>
      </c>
      <c r="S54">
        <f t="shared" ref="S54" si="106">N54/20</f>
        <v>-0.12077181298199804</v>
      </c>
      <c r="T54">
        <f t="shared" ref="T54" si="107">O54/20</f>
        <v>-0.10804010985310483</v>
      </c>
    </row>
    <row r="55" spans="1:20" x14ac:dyDescent="0.35">
      <c r="A55" s="1">
        <v>2016</v>
      </c>
      <c r="B55">
        <v>24.218328628872442</v>
      </c>
      <c r="C55">
        <v>4.3972189147432639</v>
      </c>
      <c r="D55">
        <v>7.7453613290625798</v>
      </c>
      <c r="E55">
        <v>12.0757483850666</v>
      </c>
      <c r="G55">
        <v>24.385593043974922</v>
      </c>
      <c r="H55">
        <v>4.8943210700122801</v>
      </c>
      <c r="I55">
        <v>7.5744449354908108</v>
      </c>
      <c r="J55">
        <v>11.91682703847183</v>
      </c>
    </row>
    <row r="56" spans="1:20" x14ac:dyDescent="0.35">
      <c r="A56" s="1">
        <v>2017</v>
      </c>
      <c r="B56">
        <v>25.928832188284861</v>
      </c>
      <c r="C56">
        <v>5.6783602851271269</v>
      </c>
      <c r="D56">
        <v>7.99018269589995</v>
      </c>
      <c r="E56">
        <v>12.26028920725779</v>
      </c>
      <c r="G56">
        <v>26.001092346643539</v>
      </c>
      <c r="H56">
        <v>6.268547250717365</v>
      </c>
      <c r="I56">
        <v>7.7754484841243716</v>
      </c>
      <c r="J56">
        <v>11.9570966118018</v>
      </c>
      <c r="L56">
        <f t="shared" ref="L56" si="108">100-((B56/G56)*100)</f>
        <v>0.27791200998524346</v>
      </c>
      <c r="M56">
        <f t="shared" ref="M56" si="109">100-((C56/H56)*100)</f>
        <v>9.4150517174884101</v>
      </c>
      <c r="N56">
        <f t="shared" ref="N56" si="110">100-((D56/I56)*100)</f>
        <v>-2.761695511378079</v>
      </c>
      <c r="O56">
        <f t="shared" ref="O56" si="111">100-((E56/J56)*100)</f>
        <v>-2.5356707008349844</v>
      </c>
      <c r="Q56">
        <f t="shared" ref="Q56" si="112">L56/20</f>
        <v>1.3895600499262173E-2</v>
      </c>
      <c r="R56">
        <f t="shared" ref="R56" si="113">M56/20</f>
        <v>0.47075258587442048</v>
      </c>
      <c r="S56">
        <f t="shared" ref="S56" si="114">N56/20</f>
        <v>-0.13808477556890394</v>
      </c>
      <c r="T56">
        <f t="shared" ref="T56" si="115">O56/20</f>
        <v>-0.12678353504174922</v>
      </c>
    </row>
    <row r="57" spans="1:20" x14ac:dyDescent="0.35">
      <c r="A57" s="1">
        <v>2018</v>
      </c>
      <c r="B57">
        <v>27.790397737195271</v>
      </c>
      <c r="C57">
        <v>7.3826198635676121</v>
      </c>
      <c r="D57">
        <v>8.1783727919230067</v>
      </c>
      <c r="E57">
        <v>12.22940508170465</v>
      </c>
      <c r="G57">
        <v>27.91769310253629</v>
      </c>
      <c r="H57">
        <v>8.0266613435357907</v>
      </c>
      <c r="I57">
        <v>7.9613065047254112</v>
      </c>
      <c r="J57">
        <v>11.929725254275089</v>
      </c>
    </row>
    <row r="58" spans="1:20" x14ac:dyDescent="0.35">
      <c r="A58" s="1">
        <v>2019</v>
      </c>
      <c r="B58">
        <v>29.98153449404013</v>
      </c>
      <c r="C58">
        <v>9.5452984970777663</v>
      </c>
      <c r="D58">
        <v>8.3375807431966908</v>
      </c>
      <c r="E58">
        <v>12.098655253765671</v>
      </c>
      <c r="G58">
        <v>30.226347544072951</v>
      </c>
      <c r="H58">
        <v>10.229867634124901</v>
      </c>
      <c r="I58">
        <v>8.0966537550941329</v>
      </c>
      <c r="J58">
        <v>11.89982615485391</v>
      </c>
      <c r="L58">
        <f t="shared" ref="L58:L61" si="116">100-((B58/G58)*100)</f>
        <v>0.80993262476010841</v>
      </c>
      <c r="M58">
        <f t="shared" ref="M58:M61" si="117">100-((C58/H58)*100)</f>
        <v>6.6918670067982191</v>
      </c>
      <c r="N58">
        <f t="shared" ref="N58:N61" si="118">100-((D58/I58)*100)</f>
        <v>-2.9756365455417324</v>
      </c>
      <c r="O58">
        <f t="shared" ref="O58:O61" si="119">100-((E58/J58)*100)</f>
        <v>-1.6708571732424673</v>
      </c>
      <c r="Q58">
        <f t="shared" ref="Q58:Q61" si="120">L58/20</f>
        <v>4.0496631238005419E-2</v>
      </c>
      <c r="R58">
        <f t="shared" ref="R58:R61" si="121">M58/20</f>
        <v>0.33459335033991094</v>
      </c>
      <c r="S58">
        <f t="shared" ref="S58:S61" si="122">N58/20</f>
        <v>-0.14878182727708661</v>
      </c>
      <c r="T58">
        <f t="shared" ref="T58:T61" si="123">O58/20</f>
        <v>-8.3542858662123368E-2</v>
      </c>
    </row>
    <row r="59" spans="1:20" x14ac:dyDescent="0.35">
      <c r="A59" s="1">
        <v>2020</v>
      </c>
      <c r="B59">
        <v>32.776683514361252</v>
      </c>
      <c r="C59">
        <v>12.22866575926504</v>
      </c>
      <c r="D59">
        <v>8.5458607358852117</v>
      </c>
      <c r="E59">
        <v>12.002157019210991</v>
      </c>
      <c r="G59">
        <v>33.081151482140477</v>
      </c>
      <c r="H59">
        <v>12.91675030856452</v>
      </c>
      <c r="I59">
        <v>8.3133750996693347</v>
      </c>
      <c r="J59">
        <v>11.85102607390662</v>
      </c>
      <c r="L59">
        <f t="shared" si="116"/>
        <v>0.92036689818247908</v>
      </c>
      <c r="M59">
        <f t="shared" si="117"/>
        <v>5.327071692662841</v>
      </c>
      <c r="N59">
        <f t="shared" si="118"/>
        <v>-2.796525279186838</v>
      </c>
      <c r="O59">
        <f t="shared" si="119"/>
        <v>-1.2752562044996836</v>
      </c>
      <c r="Q59">
        <f t="shared" si="120"/>
        <v>4.6018344909123952E-2</v>
      </c>
      <c r="R59">
        <f t="shared" si="121"/>
        <v>0.26635358463314207</v>
      </c>
      <c r="S59">
        <f t="shared" si="122"/>
        <v>-0.13982626395934189</v>
      </c>
      <c r="T59">
        <f t="shared" si="123"/>
        <v>-6.3762810224984173E-2</v>
      </c>
    </row>
    <row r="60" spans="1:20" x14ac:dyDescent="0.35">
      <c r="A60" s="1">
        <v>2021</v>
      </c>
      <c r="B60">
        <v>35.935364148952118</v>
      </c>
      <c r="C60">
        <v>15.40840375926093</v>
      </c>
      <c r="D60">
        <v>8.7214303521119021</v>
      </c>
      <c r="E60">
        <v>11.805530037579279</v>
      </c>
      <c r="G60">
        <v>36.274225883629938</v>
      </c>
      <c r="H60">
        <v>16.14212153940446</v>
      </c>
      <c r="I60">
        <v>8.4501938167333428</v>
      </c>
      <c r="J60">
        <v>11.68191052749213</v>
      </c>
      <c r="L60">
        <f t="shared" si="116"/>
        <v>0.93416668839442707</v>
      </c>
      <c r="M60">
        <f t="shared" si="117"/>
        <v>4.5453615149189375</v>
      </c>
      <c r="N60">
        <f t="shared" si="118"/>
        <v>-3.209826203529758</v>
      </c>
      <c r="O60">
        <f t="shared" si="119"/>
        <v>-1.0582131218709776</v>
      </c>
      <c r="Q60">
        <f t="shared" si="120"/>
        <v>4.6708334419721352E-2</v>
      </c>
      <c r="R60">
        <f t="shared" si="121"/>
        <v>0.22726807574594687</v>
      </c>
      <c r="S60">
        <f t="shared" si="122"/>
        <v>-0.16049131017648791</v>
      </c>
      <c r="T60">
        <f t="shared" si="123"/>
        <v>-5.2910656093548877E-2</v>
      </c>
    </row>
    <row r="61" spans="1:20" x14ac:dyDescent="0.35">
      <c r="A61" s="1">
        <v>2022</v>
      </c>
      <c r="B61">
        <v>39.482984357484447</v>
      </c>
      <c r="C61">
        <v>18.99973668948746</v>
      </c>
      <c r="D61">
        <v>8.8307808681405646</v>
      </c>
      <c r="E61">
        <v>11.652466799856439</v>
      </c>
      <c r="G61">
        <v>39.886899575741708</v>
      </c>
      <c r="H61">
        <v>19.791649532273169</v>
      </c>
      <c r="I61">
        <v>8.552715888411635</v>
      </c>
      <c r="J61">
        <v>11.542534155056909</v>
      </c>
      <c r="L61">
        <f t="shared" si="116"/>
        <v>1.0126513280137601</v>
      </c>
      <c r="M61">
        <f t="shared" si="117"/>
        <v>4.0012473012640015</v>
      </c>
      <c r="N61">
        <f t="shared" si="118"/>
        <v>-3.251189252126224</v>
      </c>
      <c r="O61">
        <f t="shared" si="119"/>
        <v>-0.95241342432039744</v>
      </c>
      <c r="Q61" s="16">
        <f t="shared" si="120"/>
        <v>5.0632566400688007E-2</v>
      </c>
      <c r="R61" s="16">
        <f t="shared" si="121"/>
        <v>0.20006236506320008</v>
      </c>
      <c r="S61" s="16">
        <f t="shared" si="122"/>
        <v>-0.16255946260631121</v>
      </c>
      <c r="T61" s="16">
        <f t="shared" si="123"/>
        <v>-4.7620671216019872E-2</v>
      </c>
    </row>
    <row r="63" spans="1:20" x14ac:dyDescent="0.35">
      <c r="G63" s="4" t="s">
        <v>101</v>
      </c>
    </row>
    <row r="65" spans="1:20" x14ac:dyDescent="0.35">
      <c r="A65" s="1">
        <v>2011</v>
      </c>
      <c r="B65">
        <v>20.6</v>
      </c>
      <c r="C65">
        <v>1.8</v>
      </c>
      <c r="D65">
        <v>6.9</v>
      </c>
      <c r="E65">
        <v>11.9</v>
      </c>
      <c r="G65">
        <v>20.6</v>
      </c>
      <c r="H65">
        <v>1.8</v>
      </c>
      <c r="I65">
        <v>6.9</v>
      </c>
      <c r="J65">
        <v>11.9</v>
      </c>
      <c r="L65">
        <f>100-((B65/G65)*100)</f>
        <v>0</v>
      </c>
      <c r="M65">
        <f t="shared" ref="M65" si="124">100-((C65/H65)*100)</f>
        <v>0</v>
      </c>
      <c r="N65">
        <f t="shared" ref="N65" si="125">100-((D65/I65)*100)</f>
        <v>0</v>
      </c>
      <c r="O65">
        <f t="shared" ref="O65" si="126">100-((E65/J65)*100)</f>
        <v>0</v>
      </c>
      <c r="Q65">
        <f>L65/20</f>
        <v>0</v>
      </c>
      <c r="R65">
        <f t="shared" ref="R65" si="127">M65/20</f>
        <v>0</v>
      </c>
      <c r="S65">
        <f t="shared" ref="S65" si="128">N65/20</f>
        <v>0</v>
      </c>
      <c r="T65">
        <f t="shared" ref="T65" si="129">O65/20</f>
        <v>0</v>
      </c>
    </row>
    <row r="66" spans="1:20" x14ac:dyDescent="0.35">
      <c r="A66" s="1">
        <v>2012</v>
      </c>
      <c r="B66">
        <v>21.162447613608759</v>
      </c>
      <c r="C66">
        <v>1.999699262333104</v>
      </c>
      <c r="D66">
        <v>7.0225776918344236</v>
      </c>
      <c r="E66">
        <v>12.14017065944123</v>
      </c>
      <c r="G66">
        <v>20.896056178899059</v>
      </c>
      <c r="H66">
        <v>1.961603907696484</v>
      </c>
      <c r="I66">
        <v>6.8993499132216121</v>
      </c>
      <c r="J66">
        <v>12.035102357980961</v>
      </c>
    </row>
    <row r="67" spans="1:20" x14ac:dyDescent="0.35">
      <c r="A67" s="1">
        <v>2013</v>
      </c>
      <c r="B67">
        <v>21.591743180826839</v>
      </c>
      <c r="C67">
        <v>2.3120607814991478</v>
      </c>
      <c r="D67">
        <v>7.1770551866779408</v>
      </c>
      <c r="E67">
        <v>12.10262721264975</v>
      </c>
      <c r="G67">
        <v>21.23063567327042</v>
      </c>
      <c r="H67">
        <v>2.2337025558202188</v>
      </c>
      <c r="I67">
        <v>7.0270178262807779</v>
      </c>
      <c r="J67">
        <v>11.96991529116942</v>
      </c>
      <c r="L67">
        <f t="shared" ref="L67" si="130">100-((B67/G67)*100)</f>
        <v>-1.7008793948221523</v>
      </c>
      <c r="M67">
        <f t="shared" ref="M67" si="131">100-((C67/H67)*100)</f>
        <v>-3.5079973148061327</v>
      </c>
      <c r="N67">
        <f t="shared" ref="N67" si="132">100-((D67/I67)*100)</f>
        <v>-2.1351498474364092</v>
      </c>
      <c r="O67">
        <f t="shared" ref="O67" si="133">100-((E67/J67)*100)</f>
        <v>-1.1087122861950007</v>
      </c>
      <c r="Q67">
        <f t="shared" ref="Q67" si="134">L67/20</f>
        <v>-8.5043969741107617E-2</v>
      </c>
      <c r="R67">
        <f t="shared" ref="R67" si="135">M67/20</f>
        <v>-0.17539986574030664</v>
      </c>
      <c r="S67">
        <f t="shared" ref="S67" si="136">N67/20</f>
        <v>-0.10675749237182046</v>
      </c>
      <c r="T67">
        <f t="shared" ref="T67" si="137">O67/20</f>
        <v>-5.5435614309750039E-2</v>
      </c>
    </row>
    <row r="68" spans="1:20" x14ac:dyDescent="0.35">
      <c r="A68" s="1">
        <v>2014</v>
      </c>
      <c r="B68">
        <v>22.255457259994451</v>
      </c>
      <c r="C68">
        <v>2.7910141423569792</v>
      </c>
      <c r="D68">
        <v>7.364760459652425</v>
      </c>
      <c r="E68">
        <v>12.099682657985049</v>
      </c>
      <c r="G68">
        <v>21.818980568400459</v>
      </c>
      <c r="H68">
        <v>2.679593007753982</v>
      </c>
      <c r="I68">
        <v>7.1248789976646192</v>
      </c>
      <c r="J68">
        <v>12.01450856298186</v>
      </c>
    </row>
    <row r="69" spans="1:20" x14ac:dyDescent="0.35">
      <c r="A69" s="1">
        <v>2015</v>
      </c>
      <c r="B69">
        <v>23.119148605382531</v>
      </c>
      <c r="C69">
        <v>3.4528785475692119</v>
      </c>
      <c r="D69">
        <v>7.5482118909349181</v>
      </c>
      <c r="E69">
        <v>12.1180581668784</v>
      </c>
      <c r="G69">
        <v>22.654953055271289</v>
      </c>
      <c r="H69">
        <v>3.309037443507989</v>
      </c>
      <c r="I69">
        <v>7.2184232116178801</v>
      </c>
      <c r="J69">
        <v>12.127492400145419</v>
      </c>
      <c r="L69">
        <f t="shared" ref="L69" si="138">100-((B69/G69)*100)</f>
        <v>-2.0489804105033613</v>
      </c>
      <c r="M69">
        <f t="shared" ref="M69" si="139">100-((C69/H69)*100)</f>
        <v>-4.3469167852248063</v>
      </c>
      <c r="N69">
        <f t="shared" ref="N69" si="140">100-((D69/I69)*100)</f>
        <v>-4.5687080079517983</v>
      </c>
      <c r="O69">
        <f t="shared" ref="O69" si="141">100-((E69/J69)*100)</f>
        <v>7.7792118566122781E-2</v>
      </c>
      <c r="Q69">
        <f t="shared" ref="Q69" si="142">L69/20</f>
        <v>-0.10244902052516806</v>
      </c>
      <c r="R69">
        <f t="shared" ref="R69" si="143">M69/20</f>
        <v>-0.21734583926124032</v>
      </c>
      <c r="S69">
        <f t="shared" ref="S69" si="144">N69/20</f>
        <v>-0.22843540039758992</v>
      </c>
      <c r="T69">
        <f t="shared" ref="T69" si="145">O69/20</f>
        <v>3.889605928306139E-3</v>
      </c>
    </row>
    <row r="70" spans="1:20" x14ac:dyDescent="0.35">
      <c r="A70" s="1">
        <v>2016</v>
      </c>
      <c r="B70">
        <v>24.218328628872442</v>
      </c>
      <c r="C70">
        <v>4.3972189147432639</v>
      </c>
      <c r="D70">
        <v>7.7453613290625798</v>
      </c>
      <c r="E70">
        <v>12.0757483850666</v>
      </c>
      <c r="G70">
        <v>23.62162048899426</v>
      </c>
      <c r="H70">
        <v>4.1400053972433577</v>
      </c>
      <c r="I70">
        <v>7.2975711337274722</v>
      </c>
      <c r="J70">
        <v>12.18404395802343</v>
      </c>
    </row>
    <row r="71" spans="1:20" x14ac:dyDescent="0.35">
      <c r="A71" s="1">
        <v>2017</v>
      </c>
      <c r="B71">
        <v>25.928832188284861</v>
      </c>
      <c r="C71">
        <v>5.6783602851271269</v>
      </c>
      <c r="D71">
        <v>7.99018269589995</v>
      </c>
      <c r="E71">
        <v>12.26028920725779</v>
      </c>
      <c r="G71">
        <v>24.656175366292391</v>
      </c>
      <c r="H71">
        <v>5.2119314211875762</v>
      </c>
      <c r="I71">
        <v>7.3509729109202828</v>
      </c>
      <c r="J71">
        <v>12.09327103418453</v>
      </c>
      <c r="L71">
        <f t="shared" ref="L71" si="146">100-((B71/G71)*100)</f>
        <v>-5.1616149020919551</v>
      </c>
      <c r="M71">
        <f t="shared" ref="M71" si="147">100-((C71/H71)*100)</f>
        <v>-8.9492517503860824</v>
      </c>
      <c r="N71">
        <f t="shared" ref="N71" si="148">100-((D71/I71)*100)</f>
        <v>-8.6955807445581144</v>
      </c>
      <c r="O71">
        <f t="shared" ref="O71" si="149">100-((E71/J71)*100)</f>
        <v>-1.3810835182734422</v>
      </c>
      <c r="Q71">
        <f t="shared" ref="Q71" si="150">L71/20</f>
        <v>-0.25808074510459778</v>
      </c>
      <c r="R71">
        <f t="shared" ref="R71" si="151">M71/20</f>
        <v>-0.44746258751930412</v>
      </c>
      <c r="S71">
        <f t="shared" ref="S71" si="152">N71/20</f>
        <v>-0.43477903722790573</v>
      </c>
      <c r="T71">
        <f t="shared" ref="T71" si="153">O71/20</f>
        <v>-6.9054175913672106E-2</v>
      </c>
    </row>
    <row r="72" spans="1:20" x14ac:dyDescent="0.35">
      <c r="A72" s="1">
        <v>2018</v>
      </c>
      <c r="B72">
        <v>27.790397737195271</v>
      </c>
      <c r="C72">
        <v>7.3826198635676121</v>
      </c>
      <c r="D72">
        <v>8.1783727919230067</v>
      </c>
      <c r="E72">
        <v>12.22940508170465</v>
      </c>
      <c r="G72">
        <v>26.08157061719179</v>
      </c>
      <c r="H72">
        <v>6.5950968004003636</v>
      </c>
      <c r="I72">
        <v>7.4601656488980863</v>
      </c>
      <c r="J72">
        <v>12.02630816789334</v>
      </c>
    </row>
    <row r="73" spans="1:20" x14ac:dyDescent="0.35">
      <c r="A73" s="1">
        <v>2019</v>
      </c>
      <c r="B73">
        <v>29.98153449404013</v>
      </c>
      <c r="C73">
        <v>9.5452984970777663</v>
      </c>
      <c r="D73">
        <v>8.3375807431966908</v>
      </c>
      <c r="E73">
        <v>12.098655253765671</v>
      </c>
      <c r="G73">
        <v>27.732930460049349</v>
      </c>
      <c r="H73">
        <v>8.3328050287796884</v>
      </c>
      <c r="I73">
        <v>7.5752061466615244</v>
      </c>
      <c r="J73">
        <v>11.824919284608139</v>
      </c>
      <c r="L73">
        <f t="shared" ref="L73:L76" si="154">100-((B73/G73)*100)</f>
        <v>-8.1080650212208951</v>
      </c>
      <c r="M73">
        <f t="shared" ref="M73:M76" si="155">100-((C73/H73)*100)</f>
        <v>-14.55084409284018</v>
      </c>
      <c r="N73">
        <f t="shared" ref="N73:N76" si="156">100-((D73/I73)*100)</f>
        <v>-10.064077224765072</v>
      </c>
      <c r="O73">
        <f t="shared" ref="O73:O76" si="157">100-((E73/J73)*100)</f>
        <v>-2.3149077179227788</v>
      </c>
      <c r="Q73">
        <f t="shared" ref="Q73:Q76" si="158">L73/20</f>
        <v>-0.40540325106104474</v>
      </c>
      <c r="R73">
        <f t="shared" ref="R73:R76" si="159">M73/20</f>
        <v>-0.72754220464200903</v>
      </c>
      <c r="S73">
        <f t="shared" ref="S73:S76" si="160">N73/20</f>
        <v>-0.50320386123825356</v>
      </c>
      <c r="T73">
        <f t="shared" ref="T73:T76" si="161">O73/20</f>
        <v>-0.11574538589613895</v>
      </c>
    </row>
    <row r="74" spans="1:20" x14ac:dyDescent="0.35">
      <c r="A74" s="1">
        <v>2020</v>
      </c>
      <c r="B74">
        <v>32.776683514361252</v>
      </c>
      <c r="C74">
        <v>12.22866575926504</v>
      </c>
      <c r="D74">
        <v>8.5458607358852117</v>
      </c>
      <c r="E74">
        <v>12.002157019210991</v>
      </c>
      <c r="G74">
        <v>29.711933772222078</v>
      </c>
      <c r="H74">
        <v>10.51860746663538</v>
      </c>
      <c r="I74">
        <v>7.6226138469035156</v>
      </c>
      <c r="J74">
        <v>11.57071245868319</v>
      </c>
      <c r="L74">
        <f t="shared" si="154"/>
        <v>-10.314878074359584</v>
      </c>
      <c r="M74">
        <f t="shared" si="155"/>
        <v>-16.257458965494223</v>
      </c>
      <c r="N74">
        <f t="shared" si="156"/>
        <v>-12.111946210639289</v>
      </c>
      <c r="O74">
        <f t="shared" si="157"/>
        <v>-3.7287639984867553</v>
      </c>
      <c r="Q74">
        <f t="shared" si="158"/>
        <v>-0.51574390371797918</v>
      </c>
      <c r="R74">
        <f t="shared" si="159"/>
        <v>-0.81287294827471113</v>
      </c>
      <c r="S74">
        <f t="shared" si="160"/>
        <v>-0.60559731053196442</v>
      </c>
      <c r="T74">
        <f t="shared" si="161"/>
        <v>-0.18643819992433777</v>
      </c>
    </row>
    <row r="75" spans="1:20" x14ac:dyDescent="0.35">
      <c r="A75" s="1">
        <v>2021</v>
      </c>
      <c r="B75">
        <v>35.935364148952118</v>
      </c>
      <c r="C75">
        <v>15.40840375926093</v>
      </c>
      <c r="D75">
        <v>8.7214303521119021</v>
      </c>
      <c r="E75">
        <v>11.805530037579279</v>
      </c>
      <c r="G75">
        <v>32.143254640157153</v>
      </c>
      <c r="H75">
        <v>13.138262288575021</v>
      </c>
      <c r="I75">
        <v>7.6299709139896166</v>
      </c>
      <c r="J75">
        <v>11.375021437592521</v>
      </c>
      <c r="L75">
        <f t="shared" si="154"/>
        <v>-11.797528132255209</v>
      </c>
      <c r="M75">
        <f t="shared" si="155"/>
        <v>-17.278856372505331</v>
      </c>
      <c r="N75">
        <f t="shared" si="156"/>
        <v>-14.304896446211686</v>
      </c>
      <c r="O75">
        <f t="shared" si="157"/>
        <v>-3.7846838561903695</v>
      </c>
      <c r="Q75">
        <f t="shared" si="158"/>
        <v>-0.58987640661276042</v>
      </c>
      <c r="R75">
        <f t="shared" si="159"/>
        <v>-0.86394281862526656</v>
      </c>
      <c r="S75">
        <f t="shared" si="160"/>
        <v>-0.71524482231058428</v>
      </c>
      <c r="T75">
        <f t="shared" si="161"/>
        <v>-0.18923419280951848</v>
      </c>
    </row>
    <row r="76" spans="1:20" x14ac:dyDescent="0.35">
      <c r="A76" s="1">
        <v>2022</v>
      </c>
      <c r="B76">
        <v>39.482984357484447</v>
      </c>
      <c r="C76">
        <v>18.99973668948746</v>
      </c>
      <c r="D76">
        <v>8.8307808681405646</v>
      </c>
      <c r="E76">
        <v>11.652466799856439</v>
      </c>
      <c r="G76">
        <v>34.891620110741563</v>
      </c>
      <c r="H76">
        <v>16.184045934816272</v>
      </c>
      <c r="I76">
        <v>7.6232716020713038</v>
      </c>
      <c r="J76">
        <v>11.084302573853989</v>
      </c>
      <c r="L76">
        <f t="shared" si="154"/>
        <v>-13.158931090532562</v>
      </c>
      <c r="M76">
        <f t="shared" si="155"/>
        <v>-17.397940947596254</v>
      </c>
      <c r="N76">
        <f t="shared" si="156"/>
        <v>-15.839777579762099</v>
      </c>
      <c r="O76">
        <f t="shared" si="157"/>
        <v>-5.1258455118561557</v>
      </c>
      <c r="Q76" s="16">
        <f t="shared" si="158"/>
        <v>-0.65794655452662809</v>
      </c>
      <c r="R76" s="16">
        <f t="shared" si="159"/>
        <v>-0.86989704737981266</v>
      </c>
      <c r="S76" s="16">
        <f t="shared" si="160"/>
        <v>-0.79198887898810499</v>
      </c>
      <c r="T76" s="16">
        <f t="shared" si="161"/>
        <v>-0.25629227559280776</v>
      </c>
    </row>
    <row r="78" spans="1:20" x14ac:dyDescent="0.35">
      <c r="G78" s="4"/>
    </row>
    <row r="80" spans="1:20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</sheetData>
  <mergeCells count="1">
    <mergeCell ref="B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6ABE-303A-4F9F-9A37-1578D5778BBE}">
  <dimension ref="A1:AS21"/>
  <sheetViews>
    <sheetView tabSelected="1" topLeftCell="K5" zoomScale="80" zoomScaleNormal="80" workbookViewId="0">
      <selection activeCell="Z13" sqref="Z13"/>
    </sheetView>
  </sheetViews>
  <sheetFormatPr defaultRowHeight="14.5" x14ac:dyDescent="0.35"/>
  <sheetData>
    <row r="1" spans="1:4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2"/>
      <c r="V1" s="4" t="s">
        <v>93</v>
      </c>
      <c r="AA1" s="4" t="s">
        <v>94</v>
      </c>
      <c r="AF1" s="4" t="s">
        <v>95</v>
      </c>
      <c r="AK1" s="4" t="s">
        <v>96</v>
      </c>
      <c r="AP1" s="4" t="s">
        <v>97</v>
      </c>
    </row>
    <row r="2" spans="1:45" ht="58" x14ac:dyDescent="0.35">
      <c r="A2" s="3" t="s">
        <v>33</v>
      </c>
      <c r="B2" s="7" t="s">
        <v>34</v>
      </c>
      <c r="C2" s="3" t="s">
        <v>15</v>
      </c>
      <c r="D2" s="3" t="s">
        <v>35</v>
      </c>
      <c r="E2" s="3" t="s">
        <v>36</v>
      </c>
      <c r="F2" s="7" t="s">
        <v>80</v>
      </c>
      <c r="G2" s="7" t="s">
        <v>81</v>
      </c>
      <c r="H2" s="7" t="s">
        <v>82</v>
      </c>
      <c r="I2" s="7" t="s">
        <v>83</v>
      </c>
      <c r="J2" s="7" t="s">
        <v>84</v>
      </c>
      <c r="K2" s="13" t="s">
        <v>85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8</v>
      </c>
      <c r="S2" s="7" t="s">
        <v>43</v>
      </c>
      <c r="T2" s="7" t="s">
        <v>86</v>
      </c>
      <c r="V2" s="7" t="s">
        <v>34</v>
      </c>
      <c r="W2" s="3" t="s">
        <v>15</v>
      </c>
      <c r="X2" s="3" t="s">
        <v>35</v>
      </c>
      <c r="Y2" s="3" t="s">
        <v>36</v>
      </c>
      <c r="AA2" s="7" t="s">
        <v>34</v>
      </c>
      <c r="AB2" s="3" t="s">
        <v>15</v>
      </c>
      <c r="AC2" s="3" t="s">
        <v>35</v>
      </c>
      <c r="AD2" s="3" t="s">
        <v>36</v>
      </c>
      <c r="AF2" s="7" t="s">
        <v>34</v>
      </c>
      <c r="AG2" s="3" t="s">
        <v>15</v>
      </c>
      <c r="AH2" s="3" t="s">
        <v>35</v>
      </c>
      <c r="AI2" s="3" t="s">
        <v>36</v>
      </c>
      <c r="AK2" s="7" t="s">
        <v>34</v>
      </c>
      <c r="AL2" s="3" t="s">
        <v>15</v>
      </c>
      <c r="AM2" s="3" t="s">
        <v>35</v>
      </c>
      <c r="AN2" s="3" t="s">
        <v>36</v>
      </c>
      <c r="AP2" s="7" t="s">
        <v>34</v>
      </c>
      <c r="AQ2" s="3" t="s">
        <v>15</v>
      </c>
      <c r="AR2" s="3" t="s">
        <v>35</v>
      </c>
      <c r="AS2" s="3" t="s">
        <v>36</v>
      </c>
    </row>
    <row r="3" spans="1:45" x14ac:dyDescent="0.35">
      <c r="A3" s="1">
        <v>2005</v>
      </c>
      <c r="B3" s="1">
        <v>17.2</v>
      </c>
      <c r="C3" s="1">
        <v>2.8</v>
      </c>
      <c r="D3" s="1">
        <v>7</v>
      </c>
      <c r="E3" s="1">
        <v>7.5</v>
      </c>
      <c r="F3" s="1">
        <v>72.7</v>
      </c>
      <c r="G3" s="1">
        <v>36</v>
      </c>
      <c r="H3" s="1">
        <v>1.3</v>
      </c>
      <c r="I3" s="1">
        <f>F3-G3-H3</f>
        <v>35.400000000000006</v>
      </c>
      <c r="J3" s="1">
        <v>0.5</v>
      </c>
      <c r="K3" s="12"/>
      <c r="L3">
        <f>2.6+7</f>
        <v>9.6</v>
      </c>
      <c r="M3">
        <f>B3-N3-L3</f>
        <v>7.4</v>
      </c>
      <c r="N3">
        <v>0.2</v>
      </c>
      <c r="O3">
        <v>37</v>
      </c>
      <c r="P3">
        <v>1.4</v>
      </c>
      <c r="R3">
        <v>11</v>
      </c>
      <c r="S3">
        <v>1</v>
      </c>
      <c r="T3">
        <v>0.5</v>
      </c>
      <c r="V3">
        <v>17.3</v>
      </c>
      <c r="W3">
        <v>2.8</v>
      </c>
      <c r="X3">
        <v>7</v>
      </c>
      <c r="Y3">
        <v>7.5</v>
      </c>
      <c r="AA3">
        <v>17.3</v>
      </c>
      <c r="AB3">
        <v>2.8</v>
      </c>
      <c r="AC3">
        <v>7</v>
      </c>
      <c r="AD3">
        <v>7.5</v>
      </c>
      <c r="AF3">
        <v>17.3</v>
      </c>
      <c r="AG3">
        <v>2.8</v>
      </c>
      <c r="AH3">
        <v>7</v>
      </c>
      <c r="AI3">
        <v>7.5</v>
      </c>
      <c r="AK3">
        <v>17.3</v>
      </c>
      <c r="AL3">
        <v>2.8</v>
      </c>
      <c r="AM3">
        <v>7</v>
      </c>
      <c r="AN3">
        <v>7.5</v>
      </c>
      <c r="AP3">
        <v>17.3</v>
      </c>
      <c r="AQ3">
        <v>2.8</v>
      </c>
      <c r="AR3">
        <v>7</v>
      </c>
      <c r="AS3">
        <v>7.5</v>
      </c>
    </row>
    <row r="4" spans="1:45" x14ac:dyDescent="0.35">
      <c r="A4" s="1">
        <v>2006</v>
      </c>
      <c r="B4" s="1">
        <v>14</v>
      </c>
      <c r="C4" s="1">
        <v>2.4</v>
      </c>
      <c r="D4" s="1">
        <v>6.5</v>
      </c>
      <c r="E4" s="1">
        <v>5.1000000000000005</v>
      </c>
      <c r="F4" s="1">
        <v>80.2</v>
      </c>
      <c r="G4" s="1">
        <v>20.3</v>
      </c>
      <c r="H4" s="1">
        <v>0.4</v>
      </c>
      <c r="I4" s="1">
        <f t="shared" ref="I4:I14" si="0">F4-G4-H4</f>
        <v>59.500000000000007</v>
      </c>
      <c r="J4" s="1">
        <v>0.3</v>
      </c>
      <c r="K4" s="12" t="s">
        <v>87</v>
      </c>
      <c r="S4">
        <v>5</v>
      </c>
      <c r="V4">
        <v>13.284096908502891</v>
      </c>
      <c r="W4">
        <v>1.698649330318958</v>
      </c>
      <c r="X4">
        <v>5.5783591778696744</v>
      </c>
      <c r="Y4">
        <v>6.0070884003142542</v>
      </c>
      <c r="AA4">
        <v>10.62258869976683</v>
      </c>
      <c r="AB4">
        <v>1.237826775422548</v>
      </c>
      <c r="AC4">
        <v>4.4613757273628654</v>
      </c>
      <c r="AD4">
        <v>4.923386196981415</v>
      </c>
      <c r="AF4">
        <v>11.30205628587604</v>
      </c>
      <c r="AG4">
        <v>2.1342311517391832</v>
      </c>
      <c r="AH4">
        <v>4.3479445976141893</v>
      </c>
      <c r="AI4">
        <v>4.8198805365226738</v>
      </c>
      <c r="AK4">
        <v>13.256421440720169</v>
      </c>
      <c r="AL4">
        <v>1.688066090067178</v>
      </c>
      <c r="AM4">
        <v>5.5648797818903644</v>
      </c>
      <c r="AN4">
        <v>6.0034755687626271</v>
      </c>
      <c r="AP4">
        <v>13.182466386159261</v>
      </c>
      <c r="AQ4">
        <v>1.6872806919037799</v>
      </c>
      <c r="AR4">
        <v>5.5174908202063717</v>
      </c>
      <c r="AS4">
        <v>5.9776948740491056</v>
      </c>
    </row>
    <row r="5" spans="1:45" x14ac:dyDescent="0.35">
      <c r="A5" s="1">
        <v>2007</v>
      </c>
      <c r="B5" s="1">
        <v>18.2</v>
      </c>
      <c r="C5" s="1">
        <v>2.5</v>
      </c>
      <c r="D5" s="1">
        <v>8.7000000000000011</v>
      </c>
      <c r="E5" s="1">
        <v>7</v>
      </c>
      <c r="F5" s="1">
        <v>68.3</v>
      </c>
      <c r="G5" s="1">
        <v>24.7</v>
      </c>
      <c r="H5" s="1">
        <v>0.6</v>
      </c>
      <c r="I5" s="1">
        <f t="shared" si="0"/>
        <v>42.999999999999993</v>
      </c>
      <c r="J5" s="1">
        <v>0.9</v>
      </c>
      <c r="K5" s="12"/>
      <c r="S5">
        <v>1.5</v>
      </c>
      <c r="V5">
        <v>14.14151608348388</v>
      </c>
      <c r="W5">
        <v>1.829378854616464</v>
      </c>
      <c r="X5">
        <v>6.0736214422310626</v>
      </c>
      <c r="Y5">
        <v>6.2385157866363574</v>
      </c>
      <c r="AA5">
        <v>11.472742941736399</v>
      </c>
      <c r="AB5">
        <v>1.3393394880416689</v>
      </c>
      <c r="AC5">
        <v>4.9516114434785097</v>
      </c>
      <c r="AD5">
        <v>5.1817920102162178</v>
      </c>
      <c r="AF5">
        <v>12.05965135428923</v>
      </c>
      <c r="AG5">
        <v>2.328911721491326</v>
      </c>
      <c r="AH5">
        <v>4.7310127343342527</v>
      </c>
      <c r="AI5">
        <v>4.9997268984636456</v>
      </c>
      <c r="AK5">
        <v>14.12077175449315</v>
      </c>
      <c r="AL5">
        <v>1.8191097736300419</v>
      </c>
      <c r="AM5">
        <v>6.0780000369920026</v>
      </c>
      <c r="AN5">
        <v>6.2236619438711038</v>
      </c>
      <c r="AP5">
        <v>14.032708985422209</v>
      </c>
      <c r="AQ5">
        <v>1.811000537592963</v>
      </c>
      <c r="AR5">
        <v>5.9947969190570856</v>
      </c>
      <c r="AS5">
        <v>6.2269115287721579</v>
      </c>
    </row>
    <row r="6" spans="1:45" x14ac:dyDescent="0.35">
      <c r="A6" s="1">
        <v>2008</v>
      </c>
      <c r="B6" s="1">
        <v>17.600000000000001</v>
      </c>
      <c r="C6" s="1">
        <v>3.5</v>
      </c>
      <c r="D6" s="1">
        <v>6.1000000000000005</v>
      </c>
      <c r="E6" s="1">
        <v>8.1000000000000014</v>
      </c>
      <c r="F6" s="1">
        <v>68.8</v>
      </c>
      <c r="G6" s="1">
        <v>35</v>
      </c>
      <c r="H6" s="1">
        <v>1.7</v>
      </c>
      <c r="I6" s="1">
        <f t="shared" si="0"/>
        <v>32.099999999999994</v>
      </c>
      <c r="J6" s="1">
        <v>0.3</v>
      </c>
      <c r="K6" s="12"/>
      <c r="V6">
        <v>15.16139486856364</v>
      </c>
      <c r="W6">
        <v>2.010530941004085</v>
      </c>
      <c r="X6">
        <v>6.6031761539017912</v>
      </c>
      <c r="Y6">
        <v>6.5476877736577608</v>
      </c>
      <c r="AA6">
        <v>12.457308261894401</v>
      </c>
      <c r="AB6">
        <v>1.481673270203371</v>
      </c>
      <c r="AC6">
        <v>5.549741232290879</v>
      </c>
      <c r="AD6">
        <v>5.4258937594001448</v>
      </c>
      <c r="AF6">
        <v>12.97343266497103</v>
      </c>
      <c r="AG6">
        <v>2.601248534649391</v>
      </c>
      <c r="AH6">
        <v>5.1556677038062091</v>
      </c>
      <c r="AI6">
        <v>5.2165164265154269</v>
      </c>
      <c r="AK6">
        <v>15.13075452271409</v>
      </c>
      <c r="AL6">
        <v>1.9984554442418501</v>
      </c>
      <c r="AM6">
        <v>6.6457349168808886</v>
      </c>
      <c r="AN6">
        <v>6.486564161591355</v>
      </c>
      <c r="AP6">
        <v>15.047521952348051</v>
      </c>
      <c r="AQ6">
        <v>1.978123449286898</v>
      </c>
      <c r="AR6">
        <v>6.5326670337827863</v>
      </c>
      <c r="AS6">
        <v>6.536731469278366</v>
      </c>
    </row>
    <row r="7" spans="1:45" x14ac:dyDescent="0.35">
      <c r="A7" s="1">
        <v>2009</v>
      </c>
      <c r="B7" s="1">
        <v>17.399999999999999</v>
      </c>
      <c r="C7" s="1">
        <v>1.9</v>
      </c>
      <c r="D7" s="1">
        <v>7.6000000000000005</v>
      </c>
      <c r="E7" s="1">
        <v>8</v>
      </c>
      <c r="F7" s="1">
        <v>73.099999999999994</v>
      </c>
      <c r="G7" s="1">
        <v>41</v>
      </c>
      <c r="H7" s="1">
        <v>2.2000000000000002</v>
      </c>
      <c r="I7" s="1">
        <f t="shared" si="0"/>
        <v>29.899999999999995</v>
      </c>
      <c r="J7" s="1">
        <v>5.2</v>
      </c>
      <c r="K7" s="12"/>
      <c r="V7">
        <v>16.251949670872119</v>
      </c>
      <c r="W7">
        <v>2.2309431180845358</v>
      </c>
      <c r="X7">
        <v>7.1650303650422424</v>
      </c>
      <c r="Y7">
        <v>6.8559761877453447</v>
      </c>
      <c r="AA7">
        <v>13.639843006613759</v>
      </c>
      <c r="AB7">
        <v>1.6738012959244719</v>
      </c>
      <c r="AC7">
        <v>6.2352269318271283</v>
      </c>
      <c r="AD7">
        <v>5.7308147788621584</v>
      </c>
      <c r="AF7">
        <v>14.05418962519113</v>
      </c>
      <c r="AG7">
        <v>2.9587912310590379</v>
      </c>
      <c r="AH7">
        <v>5.6340046377463828</v>
      </c>
      <c r="AI7">
        <v>5.4613937563857089</v>
      </c>
      <c r="AK7">
        <v>16.21687182539938</v>
      </c>
      <c r="AL7">
        <v>2.2243163210808712</v>
      </c>
      <c r="AM7">
        <v>7.2693705110495914</v>
      </c>
      <c r="AN7">
        <v>6.723184993268922</v>
      </c>
      <c r="AP7">
        <v>16.216322046685001</v>
      </c>
      <c r="AQ7">
        <v>2.1879229336844421</v>
      </c>
      <c r="AR7">
        <v>7.1853819949512756</v>
      </c>
      <c r="AS7">
        <v>6.8430171180492856</v>
      </c>
    </row>
    <row r="8" spans="1:45" x14ac:dyDescent="0.35">
      <c r="A8" s="1">
        <v>2010</v>
      </c>
      <c r="B8" s="1">
        <v>14.3</v>
      </c>
      <c r="C8" s="1">
        <v>2</v>
      </c>
      <c r="D8" s="1">
        <v>5.6000000000000005</v>
      </c>
      <c r="E8" s="1">
        <v>6.7</v>
      </c>
      <c r="F8" s="1">
        <v>74.2</v>
      </c>
      <c r="G8" s="1">
        <v>35.5</v>
      </c>
      <c r="H8" s="1">
        <v>3</v>
      </c>
      <c r="I8" s="1">
        <f t="shared" si="0"/>
        <v>35.700000000000003</v>
      </c>
      <c r="J8" s="1">
        <v>0.2</v>
      </c>
      <c r="K8" s="12"/>
      <c r="V8">
        <v>17.456779905954939</v>
      </c>
      <c r="W8">
        <v>2.4941496775931058</v>
      </c>
      <c r="X8">
        <v>7.7687070283836048</v>
      </c>
      <c r="Y8">
        <v>7.1939231999782249</v>
      </c>
      <c r="AA8">
        <v>14.962944387627189</v>
      </c>
      <c r="AB8">
        <v>1.9062693348130739</v>
      </c>
      <c r="AC8">
        <v>7.0172773355530982</v>
      </c>
      <c r="AD8">
        <v>6.0393977172610196</v>
      </c>
      <c r="AF8">
        <v>15.27134079396224</v>
      </c>
      <c r="AG8">
        <v>3.3914179918894791</v>
      </c>
      <c r="AH8">
        <v>6.156677298010341</v>
      </c>
      <c r="AI8">
        <v>5.7232455040624179</v>
      </c>
      <c r="AK8">
        <v>17.418324848379591</v>
      </c>
      <c r="AL8">
        <v>2.4835173499561138</v>
      </c>
      <c r="AM8">
        <v>7.9767295494364614</v>
      </c>
      <c r="AN8">
        <v>6.9580779489870137</v>
      </c>
      <c r="AP8">
        <v>17.49515642371394</v>
      </c>
      <c r="AQ8">
        <v>2.437257398132004</v>
      </c>
      <c r="AR8">
        <v>7.9450387335433739</v>
      </c>
      <c r="AS8">
        <v>7.1128602920385662</v>
      </c>
    </row>
    <row r="9" spans="1:45" s="30" customFormat="1" x14ac:dyDescent="0.35">
      <c r="A9" s="28">
        <v>2011</v>
      </c>
      <c r="B9" s="28">
        <v>12.2</v>
      </c>
      <c r="C9" s="28">
        <v>0.7</v>
      </c>
      <c r="D9" s="28">
        <v>3.9</v>
      </c>
      <c r="E9" s="28">
        <v>7.7</v>
      </c>
      <c r="F9" s="28">
        <v>70.8</v>
      </c>
      <c r="G9" s="28">
        <v>51.9</v>
      </c>
      <c r="H9" s="28">
        <v>5</v>
      </c>
      <c r="I9" s="28">
        <f t="shared" si="0"/>
        <v>13.899999999999999</v>
      </c>
      <c r="J9" s="28">
        <v>2.9</v>
      </c>
      <c r="K9" s="29" t="s">
        <v>88</v>
      </c>
      <c r="V9" s="30">
        <v>12.25931920237894</v>
      </c>
      <c r="W9" s="30">
        <v>1.806327418520749</v>
      </c>
      <c r="X9" s="30">
        <v>5.3043435761373461</v>
      </c>
      <c r="Y9" s="30">
        <v>5.1486482077208446</v>
      </c>
      <c r="AA9" s="30">
        <v>8.7115873410192854</v>
      </c>
      <c r="AB9" s="30">
        <v>1.2382292919812901</v>
      </c>
      <c r="AC9" s="30">
        <v>4.0673709212174938</v>
      </c>
      <c r="AD9" s="30">
        <v>3.4059871278205018</v>
      </c>
      <c r="AF9" s="30">
        <v>9.1570749967753606</v>
      </c>
      <c r="AG9" s="30">
        <v>3.0282596986115409</v>
      </c>
      <c r="AH9" s="30">
        <v>3.081607868860313</v>
      </c>
      <c r="AI9" s="30">
        <v>3.0472074293035059</v>
      </c>
      <c r="AK9" s="30">
        <v>12.293493839963769</v>
      </c>
      <c r="AL9" s="30">
        <v>1.800986711009646</v>
      </c>
      <c r="AM9" s="30">
        <v>5.6670208130402031</v>
      </c>
      <c r="AN9" s="30">
        <v>4.8254863159139232</v>
      </c>
      <c r="AP9" s="30">
        <v>12.70558243882137</v>
      </c>
      <c r="AQ9" s="30">
        <v>1.7940163023094939</v>
      </c>
      <c r="AR9" s="30">
        <v>5.8335448586345464</v>
      </c>
      <c r="AS9" s="30">
        <v>5.0780212778773297</v>
      </c>
    </row>
    <row r="10" spans="1:45" x14ac:dyDescent="0.35">
      <c r="A10" s="1">
        <v>2012</v>
      </c>
      <c r="B10" s="1">
        <v>10.199999999999999</v>
      </c>
      <c r="C10" s="1">
        <v>1.4</v>
      </c>
      <c r="D10" s="14">
        <v>4.9000000000000004</v>
      </c>
      <c r="E10" s="14">
        <v>3.9000000000000004</v>
      </c>
      <c r="F10" s="1">
        <v>76.5</v>
      </c>
      <c r="G10" s="1">
        <v>23.8</v>
      </c>
      <c r="H10" s="1">
        <v>1.6</v>
      </c>
      <c r="I10" s="1">
        <f t="shared" si="0"/>
        <v>51.1</v>
      </c>
      <c r="J10" s="1">
        <v>0.7</v>
      </c>
      <c r="K10" s="12"/>
      <c r="V10">
        <v>13.704569632754749</v>
      </c>
      <c r="W10">
        <v>2.1816495658543049</v>
      </c>
      <c r="X10">
        <v>5.986658230588878</v>
      </c>
      <c r="Y10">
        <v>5.5362618363115708</v>
      </c>
      <c r="AA10">
        <v>10.54595347397332</v>
      </c>
      <c r="AB10">
        <v>1.589105921479099</v>
      </c>
      <c r="AC10">
        <v>5.1653575536471257</v>
      </c>
      <c r="AD10">
        <v>3.7914899988470969</v>
      </c>
      <c r="AF10">
        <v>10.68619613352498</v>
      </c>
      <c r="AG10">
        <v>3.746408144268083</v>
      </c>
      <c r="AH10">
        <v>3.6101317454415831</v>
      </c>
      <c r="AI10">
        <v>3.329656243815311</v>
      </c>
      <c r="AK10">
        <v>13.88048900387874</v>
      </c>
      <c r="AL10">
        <v>2.1768390021034949</v>
      </c>
      <c r="AM10">
        <v>6.5831092308269872</v>
      </c>
      <c r="AN10">
        <v>5.1205407709482582</v>
      </c>
      <c r="AP10">
        <v>14.446957429229149</v>
      </c>
      <c r="AQ10">
        <v>2.1399743758090271</v>
      </c>
      <c r="AR10">
        <v>6.8754736971516861</v>
      </c>
      <c r="AS10">
        <v>5.4315093562684353</v>
      </c>
    </row>
    <row r="11" spans="1:45" x14ac:dyDescent="0.35">
      <c r="A11" s="1">
        <v>2013</v>
      </c>
      <c r="B11" s="1">
        <v>12.4</v>
      </c>
      <c r="C11" s="1">
        <v>0.7</v>
      </c>
      <c r="D11" s="14">
        <v>6.9</v>
      </c>
      <c r="E11" s="14">
        <v>4.8</v>
      </c>
      <c r="F11" s="1">
        <v>75.099999999999994</v>
      </c>
      <c r="G11" s="1">
        <v>32.700000000000003</v>
      </c>
      <c r="H11" s="1">
        <v>1.4</v>
      </c>
      <c r="I11" s="1">
        <f t="shared" si="0"/>
        <v>40.999999999999993</v>
      </c>
      <c r="J11" s="1">
        <v>0.5</v>
      </c>
      <c r="K11" s="12"/>
      <c r="V11">
        <v>15.22952815923837</v>
      </c>
      <c r="W11">
        <v>2.5821928117099602</v>
      </c>
      <c r="X11">
        <v>6.7441158543234634</v>
      </c>
      <c r="Y11">
        <v>5.9032194932049444</v>
      </c>
      <c r="AA11">
        <v>12.631872821186519</v>
      </c>
      <c r="AB11">
        <v>1.955484347226967</v>
      </c>
      <c r="AC11">
        <v>6.4602925930257111</v>
      </c>
      <c r="AD11">
        <v>4.2160958809338434</v>
      </c>
      <c r="AF11">
        <v>12.350150499975859</v>
      </c>
      <c r="AG11">
        <v>4.5401609806286736</v>
      </c>
      <c r="AH11">
        <v>4.2101464898461076</v>
      </c>
      <c r="AI11">
        <v>3.599843029501077</v>
      </c>
      <c r="AK11">
        <v>15.57468119962042</v>
      </c>
      <c r="AL11">
        <v>2.5676727631641501</v>
      </c>
      <c r="AM11">
        <v>7.6022418876515161</v>
      </c>
      <c r="AN11">
        <v>5.4047665488047523</v>
      </c>
      <c r="AP11">
        <v>16.305494190661751</v>
      </c>
      <c r="AQ11">
        <v>2.4764487664855359</v>
      </c>
      <c r="AR11">
        <v>8.072940824452651</v>
      </c>
      <c r="AS11">
        <v>5.7561045997235594</v>
      </c>
    </row>
    <row r="12" spans="1:45" x14ac:dyDescent="0.35">
      <c r="A12" s="1">
        <v>2014</v>
      </c>
      <c r="B12" s="1">
        <v>15.3</v>
      </c>
      <c r="C12" s="1">
        <v>2.2999999999999998</v>
      </c>
      <c r="D12" s="14">
        <v>7.2</v>
      </c>
      <c r="E12" s="14">
        <v>5.8</v>
      </c>
      <c r="F12" s="1">
        <v>72.099999999999994</v>
      </c>
      <c r="G12" s="1">
        <v>37.9</v>
      </c>
      <c r="H12" s="1">
        <v>3.1</v>
      </c>
      <c r="I12" s="1">
        <f t="shared" si="0"/>
        <v>31.099999999999994</v>
      </c>
      <c r="J12" s="1">
        <v>0.2</v>
      </c>
      <c r="K12" s="12"/>
      <c r="V12">
        <v>16.854389332106141</v>
      </c>
      <c r="W12">
        <v>2.9960583739122462</v>
      </c>
      <c r="X12">
        <v>7.5715328194626768</v>
      </c>
      <c r="Y12">
        <v>6.2867981387312168</v>
      </c>
      <c r="AA12">
        <v>14.845488092291101</v>
      </c>
      <c r="AB12">
        <v>2.356420292164322</v>
      </c>
      <c r="AC12">
        <v>7.8803415598335098</v>
      </c>
      <c r="AD12">
        <v>4.6087262402932687</v>
      </c>
      <c r="AF12">
        <v>14.13984711238667</v>
      </c>
      <c r="AG12">
        <v>5.4293495113190957</v>
      </c>
      <c r="AH12">
        <v>4.8663073854565049</v>
      </c>
      <c r="AI12">
        <v>3.844190215611067</v>
      </c>
      <c r="AK12">
        <v>17.31502535493874</v>
      </c>
      <c r="AL12">
        <v>2.94412392035759</v>
      </c>
      <c r="AM12">
        <v>8.6939747872050965</v>
      </c>
      <c r="AN12">
        <v>5.6769266473760549</v>
      </c>
      <c r="AP12">
        <v>18.365475763528739</v>
      </c>
      <c r="AQ12">
        <v>2.8117450599169498</v>
      </c>
      <c r="AR12">
        <v>9.3964839919329872</v>
      </c>
      <c r="AS12">
        <v>6.1572467116788054</v>
      </c>
    </row>
    <row r="13" spans="1:45" x14ac:dyDescent="0.35">
      <c r="A13" s="1">
        <v>2015</v>
      </c>
      <c r="B13" s="1">
        <v>15.3</v>
      </c>
      <c r="C13" s="1">
        <v>1.5</v>
      </c>
      <c r="D13" s="14">
        <v>8.4</v>
      </c>
      <c r="E13" s="14">
        <v>5.3000000000000007</v>
      </c>
      <c r="F13" s="1">
        <v>75.599999999999994</v>
      </c>
      <c r="G13" s="1">
        <v>39.1</v>
      </c>
      <c r="H13" s="1">
        <v>2.1</v>
      </c>
      <c r="I13" s="1">
        <f t="shared" si="0"/>
        <v>34.399999999999991</v>
      </c>
      <c r="J13" s="1">
        <v>0.2</v>
      </c>
      <c r="K13" s="12"/>
      <c r="V13">
        <v>18.55079046018237</v>
      </c>
      <c r="W13">
        <v>3.4275364899287188</v>
      </c>
      <c r="X13">
        <v>8.4515125566872626</v>
      </c>
      <c r="Y13">
        <v>6.6717414135663899</v>
      </c>
      <c r="AA13">
        <v>17.207406171599199</v>
      </c>
      <c r="AB13">
        <v>2.7699324251930779</v>
      </c>
      <c r="AC13">
        <v>9.4527970402485799</v>
      </c>
      <c r="AD13">
        <v>4.9846767061575434</v>
      </c>
      <c r="AF13">
        <v>16.018107185197579</v>
      </c>
      <c r="AG13">
        <v>6.3448586979603716</v>
      </c>
      <c r="AH13">
        <v>5.5483471505508488</v>
      </c>
      <c r="AI13">
        <v>4.1249013366863574</v>
      </c>
      <c r="AK13">
        <v>19.14457110666493</v>
      </c>
      <c r="AL13">
        <v>3.3276043911134359</v>
      </c>
      <c r="AM13">
        <v>9.8500907012031824</v>
      </c>
      <c r="AN13">
        <v>5.9668760143483066</v>
      </c>
      <c r="AP13">
        <v>20.431436179914598</v>
      </c>
      <c r="AQ13">
        <v>3.120455625517359</v>
      </c>
      <c r="AR13">
        <v>10.822443079920349</v>
      </c>
      <c r="AS13">
        <v>6.4885374744768907</v>
      </c>
    </row>
    <row r="14" spans="1:45" x14ac:dyDescent="0.35">
      <c r="A14" s="1">
        <v>2016</v>
      </c>
      <c r="B14" s="1">
        <v>18.7</v>
      </c>
      <c r="C14" s="1">
        <v>1.8</v>
      </c>
      <c r="D14" s="14">
        <v>9.6</v>
      </c>
      <c r="E14" s="14">
        <v>7.2</v>
      </c>
      <c r="F14" s="1">
        <v>68.599999999999994</v>
      </c>
      <c r="G14" s="1">
        <v>31.8</v>
      </c>
      <c r="H14" s="1">
        <v>3.7</v>
      </c>
      <c r="I14" s="1">
        <f t="shared" si="0"/>
        <v>33.099999999999994</v>
      </c>
      <c r="J14" s="1">
        <v>0.6</v>
      </c>
      <c r="V14">
        <v>20.296416418149541</v>
      </c>
      <c r="W14">
        <v>3.8649836319870121</v>
      </c>
      <c r="X14">
        <v>9.3660105431931679</v>
      </c>
      <c r="Y14">
        <v>7.0654222429693592</v>
      </c>
      <c r="AA14">
        <v>19.58598450944837</v>
      </c>
      <c r="AB14">
        <v>3.158135102406352</v>
      </c>
      <c r="AC14">
        <v>11.09523149702237</v>
      </c>
      <c r="AD14">
        <v>5.3326179100196551</v>
      </c>
      <c r="AF14">
        <v>17.93772828878841</v>
      </c>
      <c r="AG14">
        <v>7.2976742973630291</v>
      </c>
      <c r="AH14">
        <v>6.258278367922844</v>
      </c>
      <c r="AI14">
        <v>4.3817756235025351</v>
      </c>
      <c r="AK14">
        <v>20.99372236004492</v>
      </c>
      <c r="AL14">
        <v>3.7005801614338418</v>
      </c>
      <c r="AM14">
        <v>11.079611891047801</v>
      </c>
      <c r="AN14">
        <v>6.2135303075632748</v>
      </c>
      <c r="AP14">
        <v>22.55356238246042</v>
      </c>
      <c r="AQ14">
        <v>3.4212925745297098</v>
      </c>
      <c r="AR14">
        <v>12.31434616120197</v>
      </c>
      <c r="AS14">
        <v>6.8179236467287412</v>
      </c>
    </row>
    <row r="15" spans="1:45" x14ac:dyDescent="0.35">
      <c r="A15" s="1">
        <v>2017</v>
      </c>
      <c r="B15" s="1">
        <v>16.2</v>
      </c>
      <c r="C15" s="1">
        <v>2.9</v>
      </c>
      <c r="D15" s="14">
        <v>9.1999999999999993</v>
      </c>
      <c r="E15" s="14">
        <v>4.0999999999999996</v>
      </c>
      <c r="K15" s="12" t="s">
        <v>89</v>
      </c>
      <c r="V15">
        <v>15.90289909210421</v>
      </c>
      <c r="W15">
        <v>3.0636320683955529</v>
      </c>
      <c r="X15">
        <v>7.6439465301279208</v>
      </c>
      <c r="Y15">
        <v>5.1953204935807387</v>
      </c>
      <c r="AA15">
        <v>15.16122797145392</v>
      </c>
      <c r="AB15">
        <v>2.4982337480427739</v>
      </c>
      <c r="AC15">
        <v>8.8492283691546874</v>
      </c>
      <c r="AD15">
        <v>3.8137658542564572</v>
      </c>
      <c r="AF15">
        <v>14.07150765469404</v>
      </c>
      <c r="AG15">
        <v>5.8886307223198351</v>
      </c>
      <c r="AH15">
        <v>5.0134517313690168</v>
      </c>
      <c r="AI15">
        <v>3.1694252010051911</v>
      </c>
      <c r="AK15">
        <v>15.94869762250732</v>
      </c>
      <c r="AL15">
        <v>2.5043205838091032</v>
      </c>
      <c r="AM15">
        <v>8.5783739950300344</v>
      </c>
      <c r="AN15">
        <v>4.8660030436681874</v>
      </c>
      <c r="AP15">
        <v>14.67429092762454</v>
      </c>
      <c r="AQ15">
        <v>1.538771716682366</v>
      </c>
      <c r="AR15">
        <v>8.6079344184049074</v>
      </c>
      <c r="AS15">
        <v>4.5275847925372714</v>
      </c>
    </row>
    <row r="16" spans="1:45" x14ac:dyDescent="0.35">
      <c r="A16" s="1">
        <v>2018</v>
      </c>
      <c r="B16" s="1"/>
      <c r="C16" s="1"/>
      <c r="D16" s="14"/>
      <c r="E16" s="14"/>
      <c r="V16">
        <v>16.27869247833581</v>
      </c>
      <c r="W16">
        <v>3.248593335875654</v>
      </c>
      <c r="X16">
        <v>8.0431644165828438</v>
      </c>
      <c r="Y16">
        <v>4.9869347258773091</v>
      </c>
      <c r="AA16">
        <v>16.585861700040549</v>
      </c>
      <c r="AB16">
        <v>2.7134917496759301</v>
      </c>
      <c r="AC16">
        <v>10.119452818817379</v>
      </c>
      <c r="AD16">
        <v>3.7529171315472389</v>
      </c>
      <c r="AF16">
        <v>14.87222108227774</v>
      </c>
      <c r="AG16">
        <v>6.4017018900362608</v>
      </c>
      <c r="AH16">
        <v>5.3940753163055044</v>
      </c>
      <c r="AI16">
        <v>3.0764438759359751</v>
      </c>
      <c r="AK16">
        <v>16.360805856319011</v>
      </c>
      <c r="AL16">
        <v>2.6280698819294139</v>
      </c>
      <c r="AM16">
        <v>8.9561112417160373</v>
      </c>
      <c r="AN16">
        <v>4.7766247326735574</v>
      </c>
      <c r="AP16">
        <v>12.32774701736494</v>
      </c>
      <c r="AQ16">
        <v>1.277243945748058</v>
      </c>
      <c r="AR16">
        <v>7.2159339835074379</v>
      </c>
      <c r="AS16">
        <v>3.834569088109447</v>
      </c>
    </row>
    <row r="17" spans="1:45" x14ac:dyDescent="0.35">
      <c r="A17" s="1">
        <v>2019</v>
      </c>
      <c r="B17" s="1">
        <v>22.8</v>
      </c>
      <c r="C17" s="1">
        <v>3.1</v>
      </c>
      <c r="D17" s="14">
        <v>12.1</v>
      </c>
      <c r="E17" s="14">
        <v>7.5</v>
      </c>
      <c r="V17">
        <v>17.964922700196041</v>
      </c>
      <c r="W17">
        <v>3.636373861576101</v>
      </c>
      <c r="X17">
        <v>9.0958041225533179</v>
      </c>
      <c r="Y17">
        <v>5.2327447160666258</v>
      </c>
      <c r="AA17">
        <v>19.038385274973589</v>
      </c>
      <c r="AB17">
        <v>3.0455679106374132</v>
      </c>
      <c r="AC17">
        <v>11.969418922791901</v>
      </c>
      <c r="AD17">
        <v>4.0233984415442796</v>
      </c>
      <c r="AF17">
        <v>16.722481710563539</v>
      </c>
      <c r="AG17">
        <v>7.2942479978752077</v>
      </c>
      <c r="AH17">
        <v>6.1610755277253677</v>
      </c>
      <c r="AI17">
        <v>3.2671581849629612</v>
      </c>
      <c r="AK17">
        <v>18.218419774909609</v>
      </c>
      <c r="AL17">
        <v>2.9451449379700061</v>
      </c>
      <c r="AM17">
        <v>10.286850619868501</v>
      </c>
      <c r="AN17">
        <v>4.9864242170711011</v>
      </c>
      <c r="AP17">
        <v>13.578984466427499</v>
      </c>
      <c r="AQ17">
        <v>1.4905973568349751</v>
      </c>
      <c r="AR17">
        <v>8.1431652377374242</v>
      </c>
      <c r="AS17">
        <v>3.945221871855106</v>
      </c>
    </row>
    <row r="18" spans="1:45" x14ac:dyDescent="0.35">
      <c r="A18" s="1">
        <v>2020</v>
      </c>
      <c r="B18" s="1">
        <v>17.5</v>
      </c>
      <c r="C18" s="1">
        <v>4.7</v>
      </c>
      <c r="D18" s="15">
        <f>7.7+0.3+1.5</f>
        <v>9.5</v>
      </c>
      <c r="E18" s="14">
        <v>3.3000000000000003</v>
      </c>
      <c r="K18" t="s">
        <v>90</v>
      </c>
      <c r="V18">
        <v>17.12357473513357</v>
      </c>
      <c r="W18">
        <v>3.6038485601344039</v>
      </c>
      <c r="X18">
        <v>8.8648283401751691</v>
      </c>
      <c r="Y18">
        <v>4.6548978348239984</v>
      </c>
      <c r="AA18">
        <v>18.97502327814151</v>
      </c>
      <c r="AB18">
        <v>3.021102757847582</v>
      </c>
      <c r="AC18">
        <v>12.31475849523776</v>
      </c>
      <c r="AD18">
        <v>3.6391620250561609</v>
      </c>
      <c r="AF18">
        <v>16.28117630002755</v>
      </c>
      <c r="AG18">
        <v>7.3065296616553344</v>
      </c>
      <c r="AH18">
        <v>6.0503245692092849</v>
      </c>
      <c r="AI18">
        <v>2.9243220691629319</v>
      </c>
      <c r="AK18">
        <v>17.05118065942241</v>
      </c>
      <c r="AL18">
        <v>2.7708159981269009</v>
      </c>
      <c r="AM18">
        <v>9.6795414900214265</v>
      </c>
      <c r="AN18">
        <v>4.6008231712740821</v>
      </c>
      <c r="AP18">
        <v>9.9242126528738162</v>
      </c>
      <c r="AQ18">
        <v>1.0191817442097411</v>
      </c>
      <c r="AR18">
        <v>5.9104058864000297</v>
      </c>
      <c r="AS18">
        <v>2.9946250222640458</v>
      </c>
    </row>
    <row r="19" spans="1:45" x14ac:dyDescent="0.35">
      <c r="A19" s="1">
        <v>2021</v>
      </c>
      <c r="B19" s="1">
        <v>26.9</v>
      </c>
      <c r="C19" s="1">
        <v>3.1</v>
      </c>
      <c r="D19" s="15">
        <f>14.8+0.4+2.2</f>
        <v>17.400000000000002</v>
      </c>
      <c r="E19" s="14">
        <v>6.3000000000000007</v>
      </c>
      <c r="V19">
        <v>18.80612340310288</v>
      </c>
      <c r="W19">
        <v>3.9448978951127041</v>
      </c>
      <c r="X19">
        <v>9.979288699082062</v>
      </c>
      <c r="Y19">
        <v>4.8819368089081143</v>
      </c>
      <c r="AA19">
        <v>21.35691010575399</v>
      </c>
      <c r="AB19">
        <v>3.266814573266474</v>
      </c>
      <c r="AC19">
        <v>14.2367161583647</v>
      </c>
      <c r="AD19">
        <v>3.8533793741228162</v>
      </c>
      <c r="AF19">
        <v>18.016454637191959</v>
      </c>
      <c r="AG19">
        <v>8.0962475149514699</v>
      </c>
      <c r="AH19">
        <v>6.8300776833073149</v>
      </c>
      <c r="AI19">
        <v>3.0901294389331762</v>
      </c>
      <c r="AK19">
        <v>18.9437447962842</v>
      </c>
      <c r="AL19">
        <v>3.0441934638514669</v>
      </c>
      <c r="AM19">
        <v>11.09520204459124</v>
      </c>
      <c r="AN19">
        <v>4.8043492878414886</v>
      </c>
      <c r="AP19">
        <v>11.349278350450319</v>
      </c>
      <c r="AQ19">
        <v>1.2054585536135309</v>
      </c>
      <c r="AR19">
        <v>7.017591494818455</v>
      </c>
      <c r="AS19">
        <v>3.126228302018331</v>
      </c>
    </row>
    <row r="20" spans="1:45" x14ac:dyDescent="0.35">
      <c r="A20" s="1">
        <v>2022</v>
      </c>
      <c r="B20" s="1">
        <v>26.8</v>
      </c>
      <c r="C20" s="1">
        <v>4.0999999999999996</v>
      </c>
      <c r="D20" s="15">
        <f>14.6+0.4+1.4</f>
        <v>16.399999999999999</v>
      </c>
      <c r="E20" s="14">
        <v>6.1999999999999993</v>
      </c>
      <c r="K20" t="s">
        <v>91</v>
      </c>
      <c r="V20">
        <v>19.788185266615049</v>
      </c>
      <c r="W20">
        <v>4.1434367333425364</v>
      </c>
      <c r="X20">
        <v>10.74007444753404</v>
      </c>
      <c r="Y20">
        <v>4.9046740857384714</v>
      </c>
      <c r="AA20">
        <v>23.048913004115199</v>
      </c>
      <c r="AB20">
        <v>3.3794504873747102</v>
      </c>
      <c r="AC20">
        <v>15.76303931415722</v>
      </c>
      <c r="AD20">
        <v>3.9064232025832699</v>
      </c>
      <c r="AF20">
        <v>19.072491190219122</v>
      </c>
      <c r="AG20">
        <v>8.5614682995629039</v>
      </c>
      <c r="AH20">
        <v>7.3733375929293281</v>
      </c>
      <c r="AI20">
        <v>3.137685297726891</v>
      </c>
      <c r="AK20">
        <v>20.064684690039119</v>
      </c>
      <c r="AL20">
        <v>3.1759930931466021</v>
      </c>
      <c r="AM20">
        <v>12.00134535813401</v>
      </c>
      <c r="AN20">
        <v>4.8873462387585134</v>
      </c>
      <c r="AP20">
        <v>11.2246258444421</v>
      </c>
      <c r="AQ20">
        <v>1.170498517865302</v>
      </c>
      <c r="AR20">
        <v>7.0864709137484114</v>
      </c>
      <c r="AS20">
        <v>2.967656412828386</v>
      </c>
    </row>
    <row r="21" spans="1:45" x14ac:dyDescent="0.35">
      <c r="A21" s="1"/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of sites</vt:lpstr>
      <vt:lpstr>Hypotheticals</vt:lpstr>
      <vt:lpstr>Sheet8</vt:lpstr>
      <vt:lpstr>Sensitivity analysis</vt:lpstr>
      <vt:lpstr>Geoffrey Bay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Browne</dc:creator>
  <cp:lastModifiedBy>Rio Button</cp:lastModifiedBy>
  <dcterms:created xsi:type="dcterms:W3CDTF">2023-06-02T00:45:43Z</dcterms:created>
  <dcterms:modified xsi:type="dcterms:W3CDTF">2025-03-06T06:34:47Z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2023-06-02T00:45:44Z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6a5ccf03-00da-4448-9ec1-67997cd21137</vt:lpwstr>
  </property>
  <property fmtid="{D5CDD505-2E9C-101B-9397-08002B2CF9AE}" pid="8" name="MSIP_Label_0f488380-630a-4f55-a077-a19445e3f360_ContentBits">
    <vt:lpwstr>0</vt:lpwstr>
  </property>
</Properties>
</file>