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qnbro13\Dropbox\CURTIN\Research\DECRA\Quantitative model\Equation development\Sub-model 2\Jupyter files\Coral_Model_phase_II-main end of July\"/>
    </mc:Choice>
  </mc:AlternateContent>
  <xr:revisionPtr revIDLastSave="0" documentId="13_ncr:20001_{2DF01DE1-D9C8-4B05-B141-2CC223FE2D77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Reef_data" sheetId="1" r:id="rId1"/>
    <sheet name="Population_size_structure" sheetId="2" r:id="rId2"/>
    <sheet name="Growth" sheetId="3" r:id="rId3"/>
    <sheet name="PCM_rates" sheetId="4" r:id="rId4"/>
    <sheet name="Mortality" sheetId="5" r:id="rId5"/>
    <sheet name="Reproduction" sheetId="6" r:id="rId6"/>
    <sheet name=" TOTAL_COVERS" sheetId="7" r:id="rId7"/>
    <sheet name="New PSD" sheetId="8" r:id="rId8"/>
  </sheets>
  <definedNames>
    <definedName name="_xlnm.Print_Area" localSheetId="6">#REF!</definedName>
    <definedName name="_xlnm.Print_Area" localSheetId="2">#REF!</definedName>
    <definedName name="_xlnm.Print_Area" localSheetId="4">#REF!</definedName>
    <definedName name="_xlnm.Print_Area" localSheetId="7">#REF!</definedName>
    <definedName name="_xlnm.Print_Area" localSheetId="3">#REF!</definedName>
    <definedName name="_xlnm.Print_Area" localSheetId="1">#REF!</definedName>
    <definedName name="_xlnm.Print_Area" localSheetId="0">#REF!</definedName>
    <definedName name="_xlnm.Print_Area" localSheetId="5">#REF!</definedName>
    <definedName name="_xlnm.Sheet_Title" localSheetId="6">" TOTAL COVERS"</definedName>
    <definedName name="_xlnm.Sheet_Title" localSheetId="2">"Growth"</definedName>
    <definedName name="_xlnm.Sheet_Title" localSheetId="4">"Mortality"</definedName>
    <definedName name="_xlnm.Sheet_Title" localSheetId="7">"New PSD"</definedName>
    <definedName name="_xlnm.Sheet_Title" localSheetId="3">"PCM_rates"</definedName>
    <definedName name="_xlnm.Sheet_Title" localSheetId="1">"Population size structure"</definedName>
    <definedName name="_xlnm.Sheet_Title" localSheetId="0">"Reef_data"</definedName>
    <definedName name="_xlnm.Sheet_Title" localSheetId="5">"Reproduction"</definedName>
  </definedNames>
  <calcPr calcId="191029" iterate="1"/>
  <webPublishing css="0" allowPng="1" codePage="1252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3" i="8" l="1"/>
  <c r="S33" i="8"/>
  <c r="R33" i="8"/>
  <c r="P33" i="8"/>
  <c r="I33" i="8"/>
  <c r="H33" i="8"/>
  <c r="W32" i="8"/>
  <c r="V32" i="8"/>
  <c r="U32" i="8"/>
  <c r="S32" i="8"/>
  <c r="Q32" i="8"/>
  <c r="L32" i="8"/>
  <c r="K32" i="8"/>
  <c r="J32" i="8"/>
  <c r="H32" i="8"/>
  <c r="G32" i="8"/>
  <c r="F32" i="8"/>
  <c r="E32" i="8"/>
  <c r="V31" i="8"/>
  <c r="T31" i="8"/>
  <c r="O31" i="8"/>
  <c r="N31" i="8"/>
  <c r="M31" i="8"/>
  <c r="K31" i="8"/>
  <c r="J31" i="8"/>
  <c r="I31" i="8"/>
  <c r="H31" i="8"/>
  <c r="F31" i="8"/>
  <c r="X29" i="8"/>
  <c r="W33" i="8" s="1"/>
  <c r="X28" i="8"/>
  <c r="I32" i="8" s="1"/>
  <c r="X27" i="8"/>
  <c r="L31" i="8" s="1"/>
  <c r="O25" i="8"/>
  <c r="M25" i="8"/>
  <c r="V24" i="8"/>
  <c r="H24" i="8"/>
  <c r="F24" i="8"/>
  <c r="U23" i="8"/>
  <c r="J23" i="8"/>
  <c r="E23" i="8"/>
  <c r="S21" i="8"/>
  <c r="S25" i="8" s="1"/>
  <c r="Q21" i="8"/>
  <c r="Q25" i="8" s="1"/>
  <c r="P21" i="8"/>
  <c r="P25" i="8" s="1"/>
  <c r="O21" i="8"/>
  <c r="M21" i="8"/>
  <c r="L21" i="8"/>
  <c r="L25" i="8" s="1"/>
  <c r="H21" i="8"/>
  <c r="H25" i="8" s="1"/>
  <c r="V20" i="8"/>
  <c r="T20" i="8"/>
  <c r="T24" i="8" s="1"/>
  <c r="S20" i="8"/>
  <c r="S24" i="8" s="1"/>
  <c r="R20" i="8"/>
  <c r="R24" i="8" s="1"/>
  <c r="N20" i="8"/>
  <c r="N24" i="8" s="1"/>
  <c r="M20" i="8"/>
  <c r="M24" i="8" s="1"/>
  <c r="H20" i="8"/>
  <c r="F20" i="8"/>
  <c r="W19" i="8"/>
  <c r="W23" i="8" s="1"/>
  <c r="V19" i="8"/>
  <c r="V23" i="8" s="1"/>
  <c r="U19" i="8"/>
  <c r="R19" i="8"/>
  <c r="R23" i="8" s="1"/>
  <c r="Q19" i="8"/>
  <c r="Q23" i="8" s="1"/>
  <c r="P19" i="8"/>
  <c r="P23" i="8" s="1"/>
  <c r="L19" i="8"/>
  <c r="L23" i="8" s="1"/>
  <c r="J19" i="8"/>
  <c r="G19" i="8"/>
  <c r="G23" i="8" s="1"/>
  <c r="F19" i="8"/>
  <c r="F23" i="8" s="1"/>
  <c r="E19" i="8"/>
  <c r="W9" i="8"/>
  <c r="W21" i="8" s="1"/>
  <c r="W25" i="8" s="1"/>
  <c r="V9" i="8"/>
  <c r="V21" i="8" s="1"/>
  <c r="V25" i="8" s="1"/>
  <c r="U9" i="8"/>
  <c r="U21" i="8" s="1"/>
  <c r="U25" i="8" s="1"/>
  <c r="T9" i="8"/>
  <c r="T21" i="8" s="1"/>
  <c r="T25" i="8" s="1"/>
  <c r="S9" i="8"/>
  <c r="R9" i="8"/>
  <c r="R21" i="8" s="1"/>
  <c r="R25" i="8" s="1"/>
  <c r="Q9" i="8"/>
  <c r="P9" i="8"/>
  <c r="O9" i="8"/>
  <c r="N9" i="8"/>
  <c r="N21" i="8" s="1"/>
  <c r="N25" i="8" s="1"/>
  <c r="M9" i="8"/>
  <c r="L9" i="8"/>
  <c r="K9" i="8"/>
  <c r="K21" i="8" s="1"/>
  <c r="K25" i="8" s="1"/>
  <c r="J9" i="8"/>
  <c r="J21" i="8" s="1"/>
  <c r="J25" i="8" s="1"/>
  <c r="I9" i="8"/>
  <c r="I21" i="8" s="1"/>
  <c r="I25" i="8" s="1"/>
  <c r="H9" i="8"/>
  <c r="G9" i="8"/>
  <c r="G21" i="8" s="1"/>
  <c r="G25" i="8" s="1"/>
  <c r="F9" i="8"/>
  <c r="F21" i="8" s="1"/>
  <c r="F25" i="8" s="1"/>
  <c r="E9" i="8"/>
  <c r="X9" i="8" s="1"/>
  <c r="D9" i="8"/>
  <c r="W8" i="8"/>
  <c r="W20" i="8" s="1"/>
  <c r="W24" i="8" s="1"/>
  <c r="V8" i="8"/>
  <c r="U8" i="8"/>
  <c r="U20" i="8" s="1"/>
  <c r="U24" i="8" s="1"/>
  <c r="T8" i="8"/>
  <c r="S8" i="8"/>
  <c r="R8" i="8"/>
  <c r="Q8" i="8"/>
  <c r="Q20" i="8" s="1"/>
  <c r="Q24" i="8" s="1"/>
  <c r="P8" i="8"/>
  <c r="P20" i="8" s="1"/>
  <c r="P24" i="8" s="1"/>
  <c r="O8" i="8"/>
  <c r="O20" i="8" s="1"/>
  <c r="O24" i="8" s="1"/>
  <c r="N8" i="8"/>
  <c r="M8" i="8"/>
  <c r="L8" i="8"/>
  <c r="L20" i="8" s="1"/>
  <c r="L24" i="8" s="1"/>
  <c r="K8" i="8"/>
  <c r="K20" i="8" s="1"/>
  <c r="K24" i="8" s="1"/>
  <c r="J8" i="8"/>
  <c r="J20" i="8" s="1"/>
  <c r="J24" i="8" s="1"/>
  <c r="I8" i="8"/>
  <c r="I20" i="8" s="1"/>
  <c r="I24" i="8" s="1"/>
  <c r="H8" i="8"/>
  <c r="G8" i="8"/>
  <c r="G20" i="8" s="1"/>
  <c r="G24" i="8" s="1"/>
  <c r="F8" i="8"/>
  <c r="E8" i="8"/>
  <c r="X8" i="8" s="1"/>
  <c r="W7" i="8"/>
  <c r="V7" i="8"/>
  <c r="U7" i="8"/>
  <c r="T7" i="8"/>
  <c r="T19" i="8" s="1"/>
  <c r="T23" i="8" s="1"/>
  <c r="S7" i="8"/>
  <c r="S19" i="8" s="1"/>
  <c r="S23" i="8" s="1"/>
  <c r="R7" i="8"/>
  <c r="Q7" i="8"/>
  <c r="P7" i="8"/>
  <c r="O7" i="8"/>
  <c r="O19" i="8" s="1"/>
  <c r="O23" i="8" s="1"/>
  <c r="N7" i="8"/>
  <c r="N19" i="8" s="1"/>
  <c r="N23" i="8" s="1"/>
  <c r="M7" i="8"/>
  <c r="M19" i="8" s="1"/>
  <c r="M23" i="8" s="1"/>
  <c r="L7" i="8"/>
  <c r="K7" i="8"/>
  <c r="K19" i="8" s="1"/>
  <c r="K23" i="8" s="1"/>
  <c r="J7" i="8"/>
  <c r="I7" i="8"/>
  <c r="I19" i="8" s="1"/>
  <c r="I23" i="8" s="1"/>
  <c r="H7" i="8"/>
  <c r="X7" i="8" s="1"/>
  <c r="G7" i="8"/>
  <c r="F7" i="8"/>
  <c r="E7" i="8"/>
  <c r="B35" i="7"/>
  <c r="C12" i="7"/>
  <c r="C11" i="7"/>
  <c r="C10" i="7"/>
  <c r="C6" i="7"/>
  <c r="C13" i="6"/>
  <c r="B13" i="6"/>
  <c r="J9" i="6"/>
  <c r="J10" i="6" s="1"/>
  <c r="J11" i="6" s="1"/>
  <c r="J13" i="6" s="1"/>
  <c r="J14" i="6" s="1"/>
  <c r="J15" i="6" s="1"/>
  <c r="J18" i="6" s="1"/>
  <c r="I9" i="6"/>
  <c r="I10" i="6" s="1"/>
  <c r="I11" i="6" s="1"/>
  <c r="I13" i="6" s="1"/>
  <c r="I14" i="6" s="1"/>
  <c r="I15" i="6" s="1"/>
  <c r="I18" i="6" s="1"/>
  <c r="C8" i="6"/>
  <c r="C9" i="6" s="1"/>
  <c r="C10" i="6" s="1"/>
  <c r="C11" i="6" s="1"/>
  <c r="C14" i="6" s="1"/>
  <c r="J7" i="6"/>
  <c r="I7" i="6"/>
  <c r="C7" i="6"/>
  <c r="C6" i="6"/>
  <c r="B6" i="6"/>
  <c r="B7" i="6" s="1"/>
  <c r="B8" i="6" s="1"/>
  <c r="B9" i="6" s="1"/>
  <c r="B10" i="6" s="1"/>
  <c r="B11" i="6" s="1"/>
  <c r="B14" i="6" s="1"/>
  <c r="O30" i="5"/>
  <c r="J30" i="5"/>
  <c r="R29" i="5"/>
  <c r="N29" i="5"/>
  <c r="K29" i="5"/>
  <c r="O28" i="5"/>
  <c r="U22" i="5"/>
  <c r="U30" i="5" s="1"/>
  <c r="S22" i="5"/>
  <c r="S30" i="5" s="1"/>
  <c r="O22" i="5"/>
  <c r="M22" i="5"/>
  <c r="M30" i="5" s="1"/>
  <c r="L22" i="5"/>
  <c r="L30" i="5" s="1"/>
  <c r="K22" i="5"/>
  <c r="K30" i="5" s="1"/>
  <c r="J22" i="5"/>
  <c r="W21" i="5"/>
  <c r="W29" i="5" s="1"/>
  <c r="R21" i="5"/>
  <c r="P21" i="5"/>
  <c r="P29" i="5" s="1"/>
  <c r="O21" i="5"/>
  <c r="O29" i="5" s="1"/>
  <c r="N21" i="5"/>
  <c r="K21" i="5"/>
  <c r="G21" i="5"/>
  <c r="G29" i="5" s="1"/>
  <c r="U20" i="5"/>
  <c r="U28" i="5" s="1"/>
  <c r="T20" i="5"/>
  <c r="T28" i="5" s="1"/>
  <c r="S20" i="5"/>
  <c r="S28" i="5" s="1"/>
  <c r="O20" i="5"/>
  <c r="N20" i="5"/>
  <c r="N28" i="5" s="1"/>
  <c r="M20" i="5"/>
  <c r="M28" i="5" s="1"/>
  <c r="K20" i="5"/>
  <c r="K28" i="5" s="1"/>
  <c r="I20" i="5"/>
  <c r="I28" i="5" s="1"/>
  <c r="X18" i="5"/>
  <c r="X22" i="5" s="1"/>
  <c r="X30" i="5" s="1"/>
  <c r="W18" i="5"/>
  <c r="W22" i="5" s="1"/>
  <c r="W30" i="5" s="1"/>
  <c r="V18" i="5"/>
  <c r="V22" i="5" s="1"/>
  <c r="V30" i="5" s="1"/>
  <c r="U18" i="5"/>
  <c r="T18" i="5"/>
  <c r="T22" i="5" s="1"/>
  <c r="T30" i="5" s="1"/>
  <c r="S18" i="5"/>
  <c r="R18" i="5"/>
  <c r="R22" i="5" s="1"/>
  <c r="R30" i="5" s="1"/>
  <c r="Q18" i="5"/>
  <c r="Q22" i="5" s="1"/>
  <c r="Q30" i="5" s="1"/>
  <c r="P18" i="5"/>
  <c r="P22" i="5" s="1"/>
  <c r="P30" i="5" s="1"/>
  <c r="O18" i="5"/>
  <c r="N18" i="5"/>
  <c r="N22" i="5" s="1"/>
  <c r="N30" i="5" s="1"/>
  <c r="M18" i="5"/>
  <c r="L18" i="5"/>
  <c r="K18" i="5"/>
  <c r="J18" i="5"/>
  <c r="I18" i="5"/>
  <c r="I22" i="5" s="1"/>
  <c r="I30" i="5" s="1"/>
  <c r="H18" i="5"/>
  <c r="H22" i="5" s="1"/>
  <c r="H30" i="5" s="1"/>
  <c r="G18" i="5"/>
  <c r="G22" i="5" s="1"/>
  <c r="G30" i="5" s="1"/>
  <c r="F18" i="5"/>
  <c r="F22" i="5" s="1"/>
  <c r="X17" i="5"/>
  <c r="X21" i="5" s="1"/>
  <c r="X29" i="5" s="1"/>
  <c r="W17" i="5"/>
  <c r="V17" i="5"/>
  <c r="V21" i="5" s="1"/>
  <c r="V29" i="5" s="1"/>
  <c r="U17" i="5"/>
  <c r="U21" i="5" s="1"/>
  <c r="U29" i="5" s="1"/>
  <c r="T17" i="5"/>
  <c r="T21" i="5" s="1"/>
  <c r="T29" i="5" s="1"/>
  <c r="S17" i="5"/>
  <c r="S21" i="5" s="1"/>
  <c r="S29" i="5" s="1"/>
  <c r="R17" i="5"/>
  <c r="Q17" i="5"/>
  <c r="Q21" i="5" s="1"/>
  <c r="Q29" i="5" s="1"/>
  <c r="P17" i="5"/>
  <c r="O17" i="5"/>
  <c r="N17" i="5"/>
  <c r="M17" i="5"/>
  <c r="M21" i="5" s="1"/>
  <c r="M29" i="5" s="1"/>
  <c r="L17" i="5"/>
  <c r="L21" i="5" s="1"/>
  <c r="L29" i="5" s="1"/>
  <c r="K17" i="5"/>
  <c r="J17" i="5"/>
  <c r="J21" i="5" s="1"/>
  <c r="J29" i="5" s="1"/>
  <c r="I17" i="5"/>
  <c r="I21" i="5" s="1"/>
  <c r="I29" i="5" s="1"/>
  <c r="H17" i="5"/>
  <c r="H21" i="5" s="1"/>
  <c r="H29" i="5" s="1"/>
  <c r="G17" i="5"/>
  <c r="F17" i="5"/>
  <c r="F21" i="5" s="1"/>
  <c r="X16" i="5"/>
  <c r="X20" i="5" s="1"/>
  <c r="X28" i="5" s="1"/>
  <c r="W16" i="5"/>
  <c r="W20" i="5" s="1"/>
  <c r="W28" i="5" s="1"/>
  <c r="V16" i="5"/>
  <c r="V20" i="5" s="1"/>
  <c r="V28" i="5" s="1"/>
  <c r="U16" i="5"/>
  <c r="T16" i="5"/>
  <c r="S16" i="5"/>
  <c r="R16" i="5"/>
  <c r="R20" i="5" s="1"/>
  <c r="R28" i="5" s="1"/>
  <c r="Q16" i="5"/>
  <c r="Q20" i="5" s="1"/>
  <c r="Q28" i="5" s="1"/>
  <c r="P16" i="5"/>
  <c r="P20" i="5" s="1"/>
  <c r="P28" i="5" s="1"/>
  <c r="O16" i="5"/>
  <c r="N16" i="5"/>
  <c r="M16" i="5"/>
  <c r="L16" i="5"/>
  <c r="L20" i="5" s="1"/>
  <c r="L28" i="5" s="1"/>
  <c r="K16" i="5"/>
  <c r="J16" i="5"/>
  <c r="J20" i="5" s="1"/>
  <c r="J28" i="5" s="1"/>
  <c r="I16" i="5"/>
  <c r="H16" i="5"/>
  <c r="H20" i="5" s="1"/>
  <c r="H28" i="5" s="1"/>
  <c r="G16" i="5"/>
  <c r="G20" i="5" s="1"/>
  <c r="G28" i="5" s="1"/>
  <c r="F16" i="5"/>
  <c r="F20" i="5" s="1"/>
  <c r="F12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Y9" i="5" s="1"/>
  <c r="H9" i="5"/>
  <c r="G9" i="5"/>
  <c r="F9" i="5"/>
  <c r="A9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Y8" i="5" s="1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Y7" i="5" s="1"/>
  <c r="F18" i="3"/>
  <c r="F16" i="3"/>
  <c r="F20" i="3" s="1"/>
  <c r="F15" i="3"/>
  <c r="F19" i="3" s="1"/>
  <c r="F14" i="3"/>
  <c r="G12" i="3"/>
  <c r="G14" i="3" s="1"/>
  <c r="G18" i="3" s="1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Y9" i="3" s="1"/>
  <c r="H9" i="3"/>
  <c r="G9" i="3"/>
  <c r="F9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Y8" i="3" s="1"/>
  <c r="H8" i="3"/>
  <c r="G8" i="3"/>
  <c r="F8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Y7" i="3" s="1"/>
  <c r="V3" i="1"/>
  <c r="T3" i="1"/>
  <c r="F28" i="5" l="1"/>
  <c r="Y28" i="5" s="1"/>
  <c r="F33" i="5" s="1"/>
  <c r="F38" i="5" s="1"/>
  <c r="Y20" i="5"/>
  <c r="X23" i="8"/>
  <c r="I24" i="6"/>
  <c r="I19" i="6"/>
  <c r="B20" i="6"/>
  <c r="B15" i="6"/>
  <c r="J19" i="6"/>
  <c r="J24" i="6"/>
  <c r="Y21" i="5"/>
  <c r="F29" i="5"/>
  <c r="Y29" i="5" s="1"/>
  <c r="F34" i="5" s="1"/>
  <c r="F39" i="5" s="1"/>
  <c r="G39" i="5" s="1"/>
  <c r="Y22" i="5"/>
  <c r="F30" i="5"/>
  <c r="Y30" i="5" s="1"/>
  <c r="C20" i="6"/>
  <c r="C15" i="6"/>
  <c r="H19" i="8"/>
  <c r="H23" i="8" s="1"/>
  <c r="E20" i="8"/>
  <c r="E24" i="8" s="1"/>
  <c r="X24" i="8" s="1"/>
  <c r="P31" i="8"/>
  <c r="M32" i="8"/>
  <c r="J33" i="8"/>
  <c r="Q31" i="8"/>
  <c r="N32" i="8"/>
  <c r="K33" i="8"/>
  <c r="G16" i="3"/>
  <c r="G20" i="3" s="1"/>
  <c r="R31" i="8"/>
  <c r="O32" i="8"/>
  <c r="L33" i="8"/>
  <c r="E21" i="8"/>
  <c r="E25" i="8" s="1"/>
  <c r="X25" i="8" s="1"/>
  <c r="S31" i="8"/>
  <c r="P32" i="8"/>
  <c r="M33" i="8"/>
  <c r="G15" i="3"/>
  <c r="G19" i="3" s="1"/>
  <c r="N33" i="8"/>
  <c r="E31" i="8"/>
  <c r="U31" i="8"/>
  <c r="R32" i="8"/>
  <c r="O33" i="8"/>
  <c r="G31" i="8"/>
  <c r="W31" i="8"/>
  <c r="T32" i="8"/>
  <c r="Q33" i="8"/>
  <c r="H12" i="3"/>
  <c r="E33" i="8"/>
  <c r="U33" i="8"/>
  <c r="F33" i="8"/>
  <c r="V33" i="8"/>
  <c r="G33" i="8"/>
  <c r="H14" i="3" l="1"/>
  <c r="H18" i="3" s="1"/>
  <c r="I12" i="3"/>
  <c r="H16" i="3"/>
  <c r="H20" i="3" s="1"/>
  <c r="H15" i="3"/>
  <c r="H19" i="3" s="1"/>
  <c r="G38" i="5"/>
  <c r="J25" i="6"/>
  <c r="J20" i="6"/>
  <c r="B16" i="6"/>
  <c r="B21" i="6"/>
  <c r="I20" i="6"/>
  <c r="I25" i="6"/>
  <c r="C16" i="6"/>
  <c r="C21" i="6"/>
  <c r="F35" i="5"/>
  <c r="F40" i="5" s="1"/>
  <c r="G40" i="5" s="1"/>
  <c r="C17" i="6" l="1"/>
  <c r="C22" i="6"/>
  <c r="I21" i="6"/>
  <c r="I26" i="6"/>
  <c r="J21" i="6"/>
  <c r="J26" i="6"/>
  <c r="F42" i="5"/>
  <c r="B22" i="6"/>
  <c r="B17" i="6"/>
  <c r="I14" i="3"/>
  <c r="I18" i="3" s="1"/>
  <c r="J12" i="3"/>
  <c r="I16" i="3"/>
  <c r="I20" i="3" s="1"/>
  <c r="I15" i="3"/>
  <c r="I19" i="3" s="1"/>
  <c r="B23" i="6" l="1"/>
  <c r="B18" i="6"/>
  <c r="B24" i="6" s="1"/>
  <c r="B26" i="6" s="1"/>
  <c r="B27" i="6" s="1"/>
  <c r="H10" i="7" s="1"/>
  <c r="K12" i="3"/>
  <c r="J16" i="3"/>
  <c r="J20" i="3" s="1"/>
  <c r="J14" i="3"/>
  <c r="J18" i="3" s="1"/>
  <c r="J15" i="3"/>
  <c r="J19" i="3" s="1"/>
  <c r="C23" i="6"/>
  <c r="C18" i="6"/>
  <c r="C24" i="6" s="1"/>
  <c r="J22" i="6"/>
  <c r="J28" i="6" s="1"/>
  <c r="J30" i="6" s="1"/>
  <c r="J31" i="6" s="1"/>
  <c r="H13" i="7" s="1"/>
  <c r="J27" i="6"/>
  <c r="I22" i="6"/>
  <c r="I28" i="6" s="1"/>
  <c r="I30" i="6" s="1"/>
  <c r="I27" i="6"/>
  <c r="I31" i="6" l="1"/>
  <c r="H12" i="7" s="1"/>
  <c r="K30" i="6"/>
  <c r="K31" i="6" s="1"/>
  <c r="L12" i="3"/>
  <c r="K16" i="3"/>
  <c r="K20" i="3" s="1"/>
  <c r="K15" i="3"/>
  <c r="K19" i="3" s="1"/>
  <c r="K14" i="3"/>
  <c r="K18" i="3" s="1"/>
  <c r="M31" i="6" l="1"/>
  <c r="H6" i="7" s="1"/>
  <c r="H11" i="7"/>
  <c r="L16" i="3"/>
  <c r="L20" i="3" s="1"/>
  <c r="L15" i="3"/>
  <c r="L19" i="3" s="1"/>
  <c r="M12" i="3"/>
  <c r="L14" i="3"/>
  <c r="L18" i="3" s="1"/>
  <c r="M16" i="3" l="1"/>
  <c r="M20" i="3" s="1"/>
  <c r="M15" i="3"/>
  <c r="M19" i="3" s="1"/>
  <c r="M14" i="3"/>
  <c r="M18" i="3" s="1"/>
  <c r="N12" i="3"/>
  <c r="N16" i="3" l="1"/>
  <c r="N20" i="3" s="1"/>
  <c r="N15" i="3"/>
  <c r="N19" i="3" s="1"/>
  <c r="N14" i="3"/>
  <c r="N18" i="3" s="1"/>
  <c r="O12" i="3"/>
  <c r="O16" i="3" l="1"/>
  <c r="O20" i="3" s="1"/>
  <c r="O15" i="3"/>
  <c r="O19" i="3" s="1"/>
  <c r="O14" i="3"/>
  <c r="O18" i="3" s="1"/>
  <c r="P12" i="3"/>
  <c r="P16" i="3" l="1"/>
  <c r="P20" i="3" s="1"/>
  <c r="P15" i="3"/>
  <c r="P19" i="3" s="1"/>
  <c r="P14" i="3"/>
  <c r="P18" i="3" s="1"/>
  <c r="Q12" i="3"/>
  <c r="Q16" i="3" l="1"/>
  <c r="Q20" i="3" s="1"/>
  <c r="Q15" i="3"/>
  <c r="Q19" i="3" s="1"/>
  <c r="Q14" i="3"/>
  <c r="Q18" i="3" s="1"/>
  <c r="R12" i="3"/>
  <c r="R16" i="3" l="1"/>
  <c r="R20" i="3" s="1"/>
  <c r="R15" i="3"/>
  <c r="R19" i="3" s="1"/>
  <c r="R14" i="3"/>
  <c r="R18" i="3" s="1"/>
  <c r="S12" i="3"/>
  <c r="S15" i="3" l="1"/>
  <c r="S19" i="3" s="1"/>
  <c r="S14" i="3"/>
  <c r="S18" i="3" s="1"/>
  <c r="T12" i="3"/>
  <c r="S16" i="3"/>
  <c r="S20" i="3" s="1"/>
  <c r="T15" i="3" l="1"/>
  <c r="T19" i="3" s="1"/>
  <c r="T14" i="3"/>
  <c r="T18" i="3" s="1"/>
  <c r="U12" i="3"/>
  <c r="T16" i="3"/>
  <c r="T20" i="3" s="1"/>
  <c r="U15" i="3" l="1"/>
  <c r="U19" i="3" s="1"/>
  <c r="U14" i="3"/>
  <c r="U18" i="3" s="1"/>
  <c r="V12" i="3"/>
  <c r="U16" i="3"/>
  <c r="U20" i="3" s="1"/>
  <c r="V14" i="3" l="1"/>
  <c r="V18" i="3" s="1"/>
  <c r="V15" i="3"/>
  <c r="V19" i="3" s="1"/>
  <c r="W12" i="3"/>
  <c r="V16" i="3"/>
  <c r="V20" i="3" s="1"/>
  <c r="X12" i="3" l="1"/>
  <c r="W14" i="3"/>
  <c r="W18" i="3" s="1"/>
  <c r="W16" i="3"/>
  <c r="W20" i="3" s="1"/>
  <c r="W15" i="3"/>
  <c r="W19" i="3" s="1"/>
  <c r="X14" i="3" l="1"/>
  <c r="X18" i="3" s="1"/>
  <c r="Y18" i="3" s="1"/>
  <c r="F23" i="3" s="1"/>
  <c r="F28" i="3" s="1"/>
  <c r="X16" i="3"/>
  <c r="X20" i="3" s="1"/>
  <c r="Y20" i="3" s="1"/>
  <c r="F25" i="3" s="1"/>
  <c r="F30" i="3" s="1"/>
  <c r="G30" i="3" s="1"/>
  <c r="C9" i="7" s="1"/>
  <c r="H9" i="7" s="1"/>
  <c r="X15" i="3"/>
  <c r="X19" i="3" s="1"/>
  <c r="Y19" i="3" s="1"/>
  <c r="F24" i="3" s="1"/>
  <c r="F29" i="3" s="1"/>
  <c r="G29" i="3" s="1"/>
  <c r="C8" i="7" s="1"/>
  <c r="H8" i="7" s="1"/>
  <c r="F32" i="3" l="1"/>
  <c r="G28" i="3"/>
  <c r="C7" i="7" s="1"/>
  <c r="H7" i="7" s="1"/>
</calcChain>
</file>

<file path=xl/sharedStrings.xml><?xml version="1.0" encoding="utf-8"?>
<sst xmlns="http://schemas.openxmlformats.org/spreadsheetml/2006/main" count="247" uniqueCount="127">
  <si>
    <t>Branching</t>
  </si>
  <si>
    <t>Plate</t>
  </si>
  <si>
    <t>Massive</t>
  </si>
  <si>
    <t>Bins</t>
  </si>
  <si>
    <t>Branching</t>
  </si>
  <si>
    <t>Foliose</t>
  </si>
  <si>
    <t>Other</t>
  </si>
  <si>
    <t>BIN</t>
  </si>
  <si>
    <t>&gt;95</t>
  </si>
  <si>
    <t>Total CC = 65%</t>
  </si>
  <si>
    <t>Step 1</t>
  </si>
  <si>
    <t>START T0</t>
  </si>
  <si>
    <t>TOTAL</t>
  </si>
  <si>
    <t>SA T0</t>
  </si>
  <si>
    <t>Step 3</t>
  </si>
  <si>
    <t>Step 4</t>
  </si>
  <si>
    <t>Rel increase</t>
  </si>
  <si>
    <t>Step 5</t>
  </si>
  <si>
    <t>Abs coral cover</t>
  </si>
  <si>
    <t>T1</t>
  </si>
  <si>
    <t>Reef area (m2)</t>
  </si>
  <si>
    <t>SA (cm2) at 1 cm</t>
  </si>
  <si>
    <t>SA at 2 cm</t>
  </si>
  <si>
    <t>SA at 3 cm</t>
  </si>
  <si>
    <t>SA at 4 cm</t>
  </si>
  <si>
    <t>SA at 5 cm</t>
  </si>
  <si>
    <t>T1 SA from recruits (m2)</t>
  </si>
  <si>
    <t>T1 SA from recruits (% of reef area)</t>
  </si>
  <si>
    <t>T0</t>
  </si>
  <si>
    <t>Total cover cover</t>
  </si>
  <si>
    <t>Branching coral cover</t>
  </si>
  <si>
    <t>Foliose coral cover</t>
  </si>
  <si>
    <t>Other coral cover</t>
  </si>
  <si>
    <t>Brooder coral cover</t>
  </si>
  <si>
    <t>Spawner coral cover</t>
  </si>
  <si>
    <t>Spawner B+F</t>
  </si>
  <si>
    <t>Spawner O</t>
  </si>
  <si>
    <t>MEAN HEIGHT</t>
  </si>
  <si>
    <t>MEAN DIAMETER</t>
  </si>
  <si>
    <t>Reef</t>
  </si>
  <si>
    <t>Date</t>
  </si>
  <si>
    <t>Transect</t>
  </si>
  <si>
    <t>GPS</t>
  </si>
  <si>
    <t>Reef depth</t>
  </si>
  <si>
    <t>Habitat area (m2)</t>
  </si>
  <si>
    <t>Total coral cover (%)</t>
  </si>
  <si>
    <t>Rugosity</t>
  </si>
  <si>
    <t>Carrying capacity</t>
  </si>
  <si>
    <t>Rubble cover</t>
  </si>
  <si>
    <t>availabl recruitment substrate</t>
  </si>
  <si>
    <t>Brooder</t>
  </si>
  <si>
    <t>Spawning</t>
  </si>
  <si>
    <t>Eva</t>
  </si>
  <si>
    <t>-21.917250°, 114.432528°</t>
  </si>
  <si>
    <t>Reef shape = S2 medium retention which sits in group 3 daily retention values</t>
  </si>
  <si>
    <t>ONLY GROWTH</t>
  </si>
  <si>
    <t>YEAR 1</t>
  </si>
  <si>
    <t>Step 2a</t>
  </si>
  <si>
    <t>Rate of decline in growth rate</t>
  </si>
  <si>
    <t>Note: using the default GR values</t>
  </si>
  <si>
    <t>New D values following growth</t>
  </si>
  <si>
    <t>B = 5.4</t>
  </si>
  <si>
    <t>F = 2.1</t>
  </si>
  <si>
    <t>O = 0.8</t>
  </si>
  <si>
    <t>SA T1</t>
  </si>
  <si>
    <t>So after 1 year we see a 8.93% increase in coral cover</t>
  </si>
  <si>
    <t>ONLY MORTALITY</t>
  </si>
  <si>
    <t>Mid bin value (cm)</t>
  </si>
  <si>
    <t>Step 2b</t>
  </si>
  <si>
    <t>WCM rates</t>
  </si>
  <si>
    <t>applied to PSD</t>
  </si>
  <si>
    <t>New PSD after WCM</t>
  </si>
  <si>
    <t>Rel SA T1</t>
  </si>
  <si>
    <t>PCM rates</t>
  </si>
  <si>
    <t>applied to SA</t>
  </si>
  <si>
    <t>SA T1 after PCM</t>
  </si>
  <si>
    <t>So after 1 year we see a 4.23% decrease in coral cover</t>
  </si>
  <si>
    <t>Brooder cover = 4.61%</t>
  </si>
  <si>
    <t>Spawner cover = 60.4%</t>
  </si>
  <si>
    <t>T2</t>
  </si>
  <si>
    <t>T3</t>
  </si>
  <si>
    <t>T4</t>
  </si>
  <si>
    <t>T5</t>
  </si>
  <si>
    <t>Brooder cover (%)</t>
  </si>
  <si>
    <t>Branching + Foliose</t>
  </si>
  <si>
    <t>Spawner cover (%)</t>
  </si>
  <si>
    <t>Brooder cover (m2)</t>
  </si>
  <si>
    <t>Brooder cover m2 per m2</t>
  </si>
  <si>
    <t>Spawner cover (m2)</t>
  </si>
  <si>
    <t>Brooder cover cm2 per m2</t>
  </si>
  <si>
    <t>No of polyps (using 0.75 mm polyp size)</t>
  </si>
  <si>
    <t>Number of eggs</t>
  </si>
  <si>
    <t>No of polyps per cm2</t>
  </si>
  <si>
    <t>Number of eggs now taking into account colonies spawning</t>
  </si>
  <si>
    <t>Number of planulae released per m2</t>
  </si>
  <si>
    <t>Egg fertilisation rate</t>
  </si>
  <si>
    <t>Available substrate (%)</t>
  </si>
  <si>
    <t>Available substrate (m2)</t>
  </si>
  <si>
    <t>Eggs retained</t>
  </si>
  <si>
    <t>Number of 6 month recruits (1cm) per reef</t>
  </si>
  <si>
    <t>Larvae survived</t>
  </si>
  <si>
    <t>Number of recruits (2cm) - 0.73 MR rate</t>
  </si>
  <si>
    <t>Larvae settled - used a value of 0.012 (mid value betw 0.004 and 0.02 for low substrate available bracket)</t>
  </si>
  <si>
    <t>Number of recruits (3cm) - 0.39 MR rate</t>
  </si>
  <si>
    <t>Number of recruits (4cm) - 0.37 MR rate</t>
  </si>
  <si>
    <t>Number of recruits (5cm) - 0.35 MR rate</t>
  </si>
  <si>
    <t>Number of 6 month recruits (1cm) per reef 0.02-0.08 range</t>
  </si>
  <si>
    <t>Number of recruits (2cm) - 0.81/0.865 MR rate</t>
  </si>
  <si>
    <t>Number of recruits (3cm) - 0.93/0.83 MR rate</t>
  </si>
  <si>
    <t>Number of recruits (4cm) - 0.88/0.91 MR rate</t>
  </si>
  <si>
    <t>Number of recruits (5cm) - 0.9/0.925 MR rate</t>
  </si>
  <si>
    <t>Grand total from B and S</t>
  </si>
  <si>
    <t>Factoring in all three processes (growth, mortality and reproduction)</t>
  </si>
  <si>
    <t>Bins 10 cm and over (so just G and M)</t>
  </si>
  <si>
    <t>If we now include recruitment into the first sub-bin (0-1 cm) in the 0-5 bin</t>
  </si>
  <si>
    <t>Notes</t>
  </si>
  <si>
    <t>Note that these were calculated based on the relative proportion of brooders to spawners and the relative percentage of Spawner BF to O</t>
  </si>
  <si>
    <t>Mid bin values cm</t>
  </si>
  <si>
    <t>PSD T0</t>
  </si>
  <si>
    <t>Rel SA T0</t>
  </si>
  <si>
    <t>Rel SA growth</t>
  </si>
  <si>
    <t>Rel SA mortality</t>
  </si>
  <si>
    <t>Rel SA Loss</t>
  </si>
  <si>
    <t>Rel SA G + M</t>
  </si>
  <si>
    <t>New PSD T1</t>
  </si>
  <si>
    <t>Normalised PSD T1</t>
  </si>
  <si>
    <t>Also need to add in reproduction for bin 0 to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</si>
</sst>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>
    <font>
      <sz val="10"/>
      <color rgb="FF000000"/>
      <name val="Sans"/>
    </font>
    <font>
      <sz val="11"/>
      <color rgb="FF000000"/>
      <name val="Calibri"/>
    </font>
    <font>
      <sz val="10"/>
      <color rgb="FF000000"/>
      <name val="Arial"/>
    </font>
    <font>
      <b/>
      <u/>
      <sz val="11"/>
      <color rgb="FF000000"/>
      <name val="Calibri"/>
    </font>
    <font>
      <b/>
      <sz val="11"/>
      <color rgb="FF000000"/>
      <name val="Calibri"/>
    </font>
    <font>
      <b/>
      <sz val="10"/>
      <color rgb="FF000000"/>
      <name val="Arial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2D050"/>
        <bgColor rgb="FFBFBFBF"/>
      </patternFill>
    </fill>
    <fill>
      <patternFill patternType="solid">
        <fgColor rgb="FFD9EEF2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B4DEE7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2" fontId="1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1" fontId="5" fillId="0" borderId="1" xfId="0" applyNumberFormat="1" applyFont="1" applyBorder="1" applyAlignment="1">
      <alignment horizontal="center" wrapText="1"/>
    </xf>
    <xf numFmtId="2" fontId="4" fillId="0" borderId="1" xfId="0" applyNumberFormat="1" applyFont="1" applyBorder="1" applyAlignment="1">
      <alignment horizontal="center" wrapText="1"/>
    </xf>
    <xf numFmtId="17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4" fillId="0" borderId="0" xfId="0" applyFont="1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2" fontId="4" fillId="0" borderId="0" xfId="0" applyNumberFormat="1" applyFont="1" applyAlignment="1">
      <alignment horizontal="center"/>
    </xf>
    <xf numFmtId="0" fontId="6" fillId="0" borderId="0" xfId="0" applyFont="1"/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3" borderId="0" xfId="0" applyNumberFormat="1" applyFont="1" applyFill="1" applyAlignment="1">
      <alignment horizontal="center"/>
    </xf>
    <xf numFmtId="0" fontId="1" fillId="0" borderId="0" xfId="0" applyFont="1" applyAlignment="1">
      <alignment wrapText="1"/>
    </xf>
    <xf numFmtId="2" fontId="1" fillId="4" borderId="0" xfId="0" applyNumberFormat="1" applyFont="1" applyFill="1" applyAlignment="1">
      <alignment horizontal="center"/>
    </xf>
    <xf numFmtId="0" fontId="6" fillId="5" borderId="0" xfId="0" applyFont="1" applyFill="1"/>
    <xf numFmtId="2" fontId="6" fillId="5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left"/>
    </xf>
    <xf numFmtId="0" fontId="1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6" fillId="0" borderId="0" xfId="0" applyNumberFormat="1" applyFont="1" applyAlignment="1">
      <alignment horizontal="center"/>
    </xf>
    <xf numFmtId="0" fontId="3" fillId="0" borderId="0" xfId="0" applyFont="1"/>
    <xf numFmtId="2" fontId="1" fillId="0" borderId="0" xfId="0" applyNumberFormat="1" applyFont="1"/>
    <xf numFmtId="165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1" fillId="6" borderId="0" xfId="0" applyNumberFormat="1" applyFont="1" applyFill="1" applyAlignment="1">
      <alignment horizontal="center"/>
    </xf>
    <xf numFmtId="2" fontId="1" fillId="5" borderId="0" xfId="0" applyNumberFormat="1" applyFont="1" applyFill="1" applyAlignment="1">
      <alignment horizontal="center"/>
    </xf>
    <xf numFmtId="2" fontId="4" fillId="5" borderId="0" xfId="0" applyNumberFormat="1" applyFont="1" applyFill="1" applyAlignment="1">
      <alignment horizontal="center"/>
    </xf>
    <xf numFmtId="0" fontId="1" fillId="3" borderId="0" xfId="0" applyFont="1" applyFill="1"/>
    <xf numFmtId="2" fontId="1" fillId="3" borderId="0" xfId="0" applyNumberFormat="1" applyFont="1" applyFill="1"/>
    <xf numFmtId="2" fontId="1" fillId="0" borderId="0" xfId="0" applyNumberFormat="1" applyFont="1" applyAlignment="1">
      <alignment horizontal="left"/>
    </xf>
    <xf numFmtId="0" fontId="6" fillId="5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1" fillId="5" borderId="0" xfId="0" applyFont="1" applyFill="1" applyAlignment="1">
      <alignment horizontal="center" wrapText="1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sz="1400" b="1">
                <a:solidFill>
                  <a:srgbClr val="595959"/>
                </a:solidFill>
                <a:latin typeface="+mn-lt"/>
              </a:rPr>
              <a:t>Branching corals - no reproduction</a:t>
            </a:r>
          </a:p>
        </c:rich>
      </c:tx>
      <c:overlay val="0"/>
      <c:spPr>
        <a:ln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T0</c:v>
          </c:tx>
          <c:spPr>
            <a:ln w="9360">
              <a:solidFill>
                <a:srgbClr val="4472C4"/>
              </a:solidFill>
            </a:ln>
            <a:extLst>
              <a:ext uri="http://www.gnumeric.org/ext/spreadsheetml">
                <gnmx:gostyle xmlns:gnmx="http://www.gnumeric.org/ext/spreadsheetml" xmlns:r="http://schemas.openxmlformats.org/officeDocument/2006/relationships" xmlns="" dashType="auto" pattern="solid" auto-pattern="0"/>
              </a:ext>
            </a:extLst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xVal>
            <c:numRef>
              <c:f>'New PSD'!$E$1:$W$1</c:f>
              <c:numCache>
                <c:formatCode>0.0</c:formatCode>
                <c:ptCount val="19"/>
                <c:pt idx="0">
                  <c:v>7.5</c:v>
                </c:pt>
                <c:pt idx="1">
                  <c:v>12.5</c:v>
                </c:pt>
                <c:pt idx="2">
                  <c:v>17.5</c:v>
                </c:pt>
                <c:pt idx="3">
                  <c:v>22.5</c:v>
                </c:pt>
                <c:pt idx="4">
                  <c:v>27.5</c:v>
                </c:pt>
                <c:pt idx="5">
                  <c:v>32.5</c:v>
                </c:pt>
                <c:pt idx="6">
                  <c:v>37.5</c:v>
                </c:pt>
                <c:pt idx="7">
                  <c:v>42.5</c:v>
                </c:pt>
                <c:pt idx="8">
                  <c:v>47.5</c:v>
                </c:pt>
                <c:pt idx="9">
                  <c:v>52.5</c:v>
                </c:pt>
                <c:pt idx="10">
                  <c:v>57.5</c:v>
                </c:pt>
                <c:pt idx="11">
                  <c:v>62.5</c:v>
                </c:pt>
                <c:pt idx="12">
                  <c:v>67.5</c:v>
                </c:pt>
                <c:pt idx="13">
                  <c:v>72.5</c:v>
                </c:pt>
                <c:pt idx="14">
                  <c:v>77.5</c:v>
                </c:pt>
                <c:pt idx="15">
                  <c:v>82.5</c:v>
                </c:pt>
                <c:pt idx="16">
                  <c:v>87.5</c:v>
                </c:pt>
                <c:pt idx="17">
                  <c:v>92.5</c:v>
                </c:pt>
                <c:pt idx="18">
                  <c:v>100</c:v>
                </c:pt>
              </c:numCache>
            </c:numRef>
          </c:xVal>
          <c:yVal>
            <c:numRef>
              <c:f>'New PSD'!$E$3:$W$3</c:f>
              <c:numCache>
                <c:formatCode>0.0</c:formatCode>
                <c:ptCount val="19"/>
                <c:pt idx="0">
                  <c:v>1.50372953428766</c:v>
                </c:pt>
                <c:pt idx="1">
                  <c:v>18.9821909046176</c:v>
                </c:pt>
                <c:pt idx="2">
                  <c:v>15.7641084072662</c:v>
                </c:pt>
                <c:pt idx="3">
                  <c:v>11.6972430758897</c:v>
                </c:pt>
                <c:pt idx="4">
                  <c:v>9.9893039920042703</c:v>
                </c:pt>
                <c:pt idx="5">
                  <c:v>8.2813649081188405</c:v>
                </c:pt>
                <c:pt idx="6">
                  <c:v>6.5734258242334196</c:v>
                </c:pt>
                <c:pt idx="7">
                  <c:v>4.8654867403480004</c:v>
                </c:pt>
                <c:pt idx="8">
                  <c:v>3.15754765646258</c:v>
                </c:pt>
                <c:pt idx="9">
                  <c:v>2.51418690283514</c:v>
                </c:pt>
                <c:pt idx="10">
                  <c:v>2.0737914895557901</c:v>
                </c:pt>
                <c:pt idx="11">
                  <c:v>2.0262354925201902</c:v>
                </c:pt>
                <c:pt idx="12">
                  <c:v>1.9786794954845901</c:v>
                </c:pt>
                <c:pt idx="13">
                  <c:v>1.93112349844899</c:v>
                </c:pt>
                <c:pt idx="14">
                  <c:v>1.8835675014133799</c:v>
                </c:pt>
                <c:pt idx="15">
                  <c:v>1.83601150437778</c:v>
                </c:pt>
                <c:pt idx="16">
                  <c:v>1.77351114396168</c:v>
                </c:pt>
                <c:pt idx="17">
                  <c:v>1.6462518755634199</c:v>
                </c:pt>
                <c:pt idx="18">
                  <c:v>1.52224005261074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E6-471E-A5D2-F65BBA2F319E}"/>
            </c:ext>
          </c:extLst>
        </c:ser>
        <c:ser>
          <c:idx val="1"/>
          <c:order val="1"/>
          <c:tx>
            <c:v>T1</c:v>
          </c:tx>
          <c:spPr>
            <a:ln w="9360">
              <a:solidFill>
                <a:srgbClr val="ED7D31"/>
              </a:solidFill>
            </a:ln>
            <a:extLst>
              <a:ext uri="http://www.gnumeric.org/ext/spreadsheetml">
                <gnmx:gostyle xmlns:gnmx="http://www.gnumeric.org/ext/spreadsheetml" xmlns:r="http://schemas.openxmlformats.org/officeDocument/2006/relationships" xmlns="" dashType="auto" pattern="solid" auto-pattern="0"/>
              </a:ext>
            </a:extLst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xVal>
            <c:numRef>
              <c:f>'New PSD'!$E$1:$W$1</c:f>
              <c:numCache>
                <c:formatCode>0.0</c:formatCode>
                <c:ptCount val="19"/>
                <c:pt idx="0">
                  <c:v>7.5</c:v>
                </c:pt>
                <c:pt idx="1">
                  <c:v>12.5</c:v>
                </c:pt>
                <c:pt idx="2">
                  <c:v>17.5</c:v>
                </c:pt>
                <c:pt idx="3">
                  <c:v>22.5</c:v>
                </c:pt>
                <c:pt idx="4">
                  <c:v>27.5</c:v>
                </c:pt>
                <c:pt idx="5">
                  <c:v>32.5</c:v>
                </c:pt>
                <c:pt idx="6">
                  <c:v>37.5</c:v>
                </c:pt>
                <c:pt idx="7">
                  <c:v>42.5</c:v>
                </c:pt>
                <c:pt idx="8">
                  <c:v>47.5</c:v>
                </c:pt>
                <c:pt idx="9">
                  <c:v>52.5</c:v>
                </c:pt>
                <c:pt idx="10">
                  <c:v>57.5</c:v>
                </c:pt>
                <c:pt idx="11">
                  <c:v>62.5</c:v>
                </c:pt>
                <c:pt idx="12">
                  <c:v>67.5</c:v>
                </c:pt>
                <c:pt idx="13">
                  <c:v>72.5</c:v>
                </c:pt>
                <c:pt idx="14">
                  <c:v>77.5</c:v>
                </c:pt>
                <c:pt idx="15">
                  <c:v>82.5</c:v>
                </c:pt>
                <c:pt idx="16">
                  <c:v>87.5</c:v>
                </c:pt>
                <c:pt idx="17">
                  <c:v>92.5</c:v>
                </c:pt>
                <c:pt idx="18">
                  <c:v>100</c:v>
                </c:pt>
              </c:numCache>
            </c:numRef>
          </c:xVal>
          <c:yVal>
            <c:numRef>
              <c:f>'New PSD'!$E$31:$W$31</c:f>
              <c:numCache>
                <c:formatCode>0.00</c:formatCode>
                <c:ptCount val="19"/>
                <c:pt idx="0">
                  <c:v>3.7050681543076678</c:v>
                </c:pt>
                <c:pt idx="1">
                  <c:v>28.930056312825634</c:v>
                </c:pt>
                <c:pt idx="2">
                  <c:v>18.799010578390611</c:v>
                </c:pt>
                <c:pt idx="3">
                  <c:v>11.694121362033576</c:v>
                </c:pt>
                <c:pt idx="4">
                  <c:v>8.8047997473817148</c:v>
                </c:pt>
                <c:pt idx="5">
                  <c:v>6.6417556970685743</c:v>
                </c:pt>
                <c:pt idx="6">
                  <c:v>4.8944792379348456</c:v>
                </c:pt>
                <c:pt idx="7">
                  <c:v>3.4103468238513761</c:v>
                </c:pt>
                <c:pt idx="8">
                  <c:v>2.0893637176990683</c:v>
                </c:pt>
                <c:pt idx="9">
                  <c:v>1.6104415557075942</c:v>
                </c:pt>
                <c:pt idx="10">
                  <c:v>1.2788800589442662</c:v>
                </c:pt>
                <c:pt idx="11">
                  <c:v>1.2104626072311981</c:v>
                </c:pt>
                <c:pt idx="12">
                  <c:v>1.1525709173201408</c:v>
                </c:pt>
                <c:pt idx="13">
                  <c:v>1.0946792274090837</c:v>
                </c:pt>
                <c:pt idx="14">
                  <c:v>1.0473132993000367</c:v>
                </c:pt>
                <c:pt idx="15">
                  <c:v>0.99994737119098975</c:v>
                </c:pt>
                <c:pt idx="16">
                  <c:v>0.94731856218093791</c:v>
                </c:pt>
                <c:pt idx="17">
                  <c:v>0.8631124677648544</c:v>
                </c:pt>
                <c:pt idx="18">
                  <c:v>0.82627230145781805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E6-471E-A5D2-F65BBA2F3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</a:ln>
          <a:extLst>
            <a:ext uri="http://www.gnumeric.org/ext/spreadsheetml">
              <gnmx:gostyle xmlns:gnmx="http://www.gnumeric.org/ext/spreadsheetml" xmlns:r="http://schemas.openxmlformats.org/officeDocument/2006/relationships" xmlns="" dashType="auto"/>
            </a:ext>
          </a:extLst>
        </c:spPr>
        <c:txPr>
          <a:bodyPr rot="4800000"/>
          <a:lstStyle/>
          <a:p>
            <a:pPr>
              <a:defRPr sz="900">
                <a:solidFill>
                  <a:srgbClr val="595959"/>
                </a:solidFill>
                <a:latin typeface="+mn-lt"/>
              </a:defRPr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</a:ln>
            <a:extLst>
              <a:ext uri="http://www.gnumeric.org/ext/spreadsheetml">
                <gnmx:gostyle xmlns:gnmx="http://www.gnumeric.org/ext/spreadsheetml" xmlns:r="http://schemas.openxmlformats.org/officeDocument/2006/relationships" xmlns="" dashType="auto"/>
              </a:ext>
            </a:extLst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</a:ln>
          <a:extLst>
            <a:ext uri="http://www.gnumeric.org/ext/spreadsheetml">
              <gnmx:gostyle xmlns:gnmx="http://www.gnumeric.org/ext/spreadsheetml" xmlns:r="http://schemas.openxmlformats.org/officeDocument/2006/relationships" xmlns="" dashType="auto"/>
            </a:ext>
          </a:extLst>
        </c:spPr>
        <c:txPr>
          <a:bodyPr rot="4800000"/>
          <a:lstStyle/>
          <a:p>
            <a:pPr>
              <a:defRPr sz="900">
                <a:solidFill>
                  <a:srgbClr val="595959"/>
                </a:solidFill>
                <a:latin typeface="+mn-lt"/>
              </a:defRPr>
            </a:pPr>
            <a:endParaRPr lang="en-US"/>
          </a:p>
        </c:txPr>
        <c:crossAx val="1"/>
        <c:crosses val="autoZero"/>
        <c:crossBetween val="midCat"/>
      </c:valAx>
    </c:plotArea>
    <c:legend>
      <c:legendPos val="r"/>
      <c:overlay val="1"/>
      <c:spPr>
        <a:noFill/>
        <a:ln>
          <a:noFill/>
        </a:ln>
      </c:spPr>
      <c:txPr>
        <a:bodyPr/>
        <a:lstStyle/>
        <a:p>
          <a:pPr>
            <a:defRPr sz="900">
              <a:solidFill>
                <a:srgbClr val="595959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noFill/>
    <a:ln w="9360">
      <a:solidFill>
        <a:srgbClr val="D9D9D9"/>
      </a:solidFill>
    </a:ln>
    <a:extLst>
      <a:ext uri="http://www.gnumeric.org/ext/spreadsheetml">
        <gnmx:gostyle xmlns:gnmx="http://www.gnumeric.org/ext/spreadsheetml" xmlns:r="http://schemas.openxmlformats.org/officeDocument/2006/relationships" xmlns="" dashType="auto"/>
      </a:ext>
    </a:ex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sz="1400" b="1">
                <a:solidFill>
                  <a:srgbClr val="595959"/>
                </a:solidFill>
                <a:latin typeface="+mn-lt"/>
              </a:rPr>
              <a:t>Foliose corals - no reproduction</a:t>
            </a:r>
          </a:p>
        </c:rich>
      </c:tx>
      <c:overlay val="0"/>
      <c:spPr>
        <a:ln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T0</c:v>
          </c:tx>
          <c:spPr>
            <a:ln w="9360">
              <a:solidFill>
                <a:srgbClr val="4472C4"/>
              </a:solidFill>
            </a:ln>
            <a:extLst>
              <a:ext uri="http://www.gnumeric.org/ext/spreadsheetml">
                <gnmx:gostyle xmlns:gnmx="http://www.gnumeric.org/ext/spreadsheetml" xmlns:r="http://schemas.openxmlformats.org/officeDocument/2006/relationships" xmlns="" dashType="auto" pattern="solid" auto-pattern="0"/>
              </a:ext>
            </a:extLst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xVal>
            <c:numRef>
              <c:f>'New PSD'!$E$1:$W$1</c:f>
              <c:numCache>
                <c:formatCode>0.0</c:formatCode>
                <c:ptCount val="19"/>
                <c:pt idx="0">
                  <c:v>7.5</c:v>
                </c:pt>
                <c:pt idx="1">
                  <c:v>12.5</c:v>
                </c:pt>
                <c:pt idx="2">
                  <c:v>17.5</c:v>
                </c:pt>
                <c:pt idx="3">
                  <c:v>22.5</c:v>
                </c:pt>
                <c:pt idx="4">
                  <c:v>27.5</c:v>
                </c:pt>
                <c:pt idx="5">
                  <c:v>32.5</c:v>
                </c:pt>
                <c:pt idx="6">
                  <c:v>37.5</c:v>
                </c:pt>
                <c:pt idx="7">
                  <c:v>42.5</c:v>
                </c:pt>
                <c:pt idx="8">
                  <c:v>47.5</c:v>
                </c:pt>
                <c:pt idx="9">
                  <c:v>52.5</c:v>
                </c:pt>
                <c:pt idx="10">
                  <c:v>57.5</c:v>
                </c:pt>
                <c:pt idx="11">
                  <c:v>62.5</c:v>
                </c:pt>
                <c:pt idx="12">
                  <c:v>67.5</c:v>
                </c:pt>
                <c:pt idx="13">
                  <c:v>72.5</c:v>
                </c:pt>
                <c:pt idx="14">
                  <c:v>77.5</c:v>
                </c:pt>
                <c:pt idx="15">
                  <c:v>82.5</c:v>
                </c:pt>
                <c:pt idx="16">
                  <c:v>87.5</c:v>
                </c:pt>
                <c:pt idx="17">
                  <c:v>92.5</c:v>
                </c:pt>
                <c:pt idx="18">
                  <c:v>100</c:v>
                </c:pt>
              </c:numCache>
            </c:numRef>
          </c:xVal>
          <c:yVal>
            <c:numRef>
              <c:f>'New PSD'!$E$4:$W$4</c:f>
              <c:numCache>
                <c:formatCode>0.0</c:formatCode>
                <c:ptCount val="19"/>
                <c:pt idx="0">
                  <c:v>0</c:v>
                </c:pt>
                <c:pt idx="1">
                  <c:v>16.536143646336299</c:v>
                </c:pt>
                <c:pt idx="2">
                  <c:v>12.002206366234599</c:v>
                </c:pt>
                <c:pt idx="3">
                  <c:v>11.2170824878521</c:v>
                </c:pt>
                <c:pt idx="4">
                  <c:v>7.4258582854396602</c:v>
                </c:pt>
                <c:pt idx="5">
                  <c:v>7.1712226995330202</c:v>
                </c:pt>
                <c:pt idx="6">
                  <c:v>6.0324399594999498</c:v>
                </c:pt>
                <c:pt idx="7">
                  <c:v>6.3967073814818196</c:v>
                </c:pt>
                <c:pt idx="8">
                  <c:v>4.3295701296159796</c:v>
                </c:pt>
                <c:pt idx="9">
                  <c:v>3.76548303976509</c:v>
                </c:pt>
                <c:pt idx="10">
                  <c:v>3.1303992984419802</c:v>
                </c:pt>
                <c:pt idx="11">
                  <c:v>3.0419845830293299</c:v>
                </c:pt>
                <c:pt idx="12">
                  <c:v>2.9535698676166899</c:v>
                </c:pt>
                <c:pt idx="13">
                  <c:v>2.8651551522040402</c:v>
                </c:pt>
                <c:pt idx="14">
                  <c:v>2.7767404367914001</c:v>
                </c:pt>
                <c:pt idx="15">
                  <c:v>2.6883257213787499</c:v>
                </c:pt>
                <c:pt idx="16">
                  <c:v>2.5999110059661099</c:v>
                </c:pt>
                <c:pt idx="17">
                  <c:v>2.5557036482597901</c:v>
                </c:pt>
                <c:pt idx="18">
                  <c:v>2.5114962905534699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A4-4B73-BC80-4810A2B97897}"/>
            </c:ext>
          </c:extLst>
        </c:ser>
        <c:ser>
          <c:idx val="1"/>
          <c:order val="1"/>
          <c:tx>
            <c:v>T1</c:v>
          </c:tx>
          <c:spPr>
            <a:ln w="9360">
              <a:solidFill>
                <a:srgbClr val="ED7D31"/>
              </a:solidFill>
            </a:ln>
            <a:extLst>
              <a:ext uri="http://www.gnumeric.org/ext/spreadsheetml">
                <gnmx:gostyle xmlns:gnmx="http://www.gnumeric.org/ext/spreadsheetml" xmlns:r="http://schemas.openxmlformats.org/officeDocument/2006/relationships" xmlns="" dashType="auto" pattern="solid" auto-pattern="0"/>
              </a:ext>
            </a:extLst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xVal>
            <c:numRef>
              <c:f>'New PSD'!$E$1:$W$1</c:f>
              <c:numCache>
                <c:formatCode>0.0</c:formatCode>
                <c:ptCount val="19"/>
                <c:pt idx="0">
                  <c:v>7.5</c:v>
                </c:pt>
                <c:pt idx="1">
                  <c:v>12.5</c:v>
                </c:pt>
                <c:pt idx="2">
                  <c:v>17.5</c:v>
                </c:pt>
                <c:pt idx="3">
                  <c:v>22.5</c:v>
                </c:pt>
                <c:pt idx="4">
                  <c:v>27.5</c:v>
                </c:pt>
                <c:pt idx="5">
                  <c:v>32.5</c:v>
                </c:pt>
                <c:pt idx="6">
                  <c:v>37.5</c:v>
                </c:pt>
                <c:pt idx="7">
                  <c:v>42.5</c:v>
                </c:pt>
                <c:pt idx="8">
                  <c:v>47.5</c:v>
                </c:pt>
                <c:pt idx="9">
                  <c:v>52.5</c:v>
                </c:pt>
                <c:pt idx="10">
                  <c:v>57.5</c:v>
                </c:pt>
                <c:pt idx="11">
                  <c:v>62.5</c:v>
                </c:pt>
                <c:pt idx="12">
                  <c:v>67.5</c:v>
                </c:pt>
                <c:pt idx="13">
                  <c:v>72.5</c:v>
                </c:pt>
                <c:pt idx="14">
                  <c:v>77.5</c:v>
                </c:pt>
                <c:pt idx="15">
                  <c:v>82.5</c:v>
                </c:pt>
                <c:pt idx="16">
                  <c:v>87.5</c:v>
                </c:pt>
                <c:pt idx="17">
                  <c:v>92.5</c:v>
                </c:pt>
                <c:pt idx="18">
                  <c:v>100</c:v>
                </c:pt>
              </c:numCache>
            </c:numRef>
          </c:xVal>
          <c:yVal>
            <c:numRef>
              <c:f>'New PSD'!$E$32:$W$32</c:f>
              <c:numCache>
                <c:formatCode>0.00</c:formatCode>
                <c:ptCount val="19"/>
                <c:pt idx="0">
                  <c:v>0</c:v>
                </c:pt>
                <c:pt idx="1">
                  <c:v>21.425704423215862</c:v>
                </c:pt>
                <c:pt idx="2">
                  <c:v>13.727221642450028</c:v>
                </c:pt>
                <c:pt idx="3">
                  <c:v>11.792566428514087</c:v>
                </c:pt>
                <c:pt idx="4">
                  <c:v>7.361322950951271</c:v>
                </c:pt>
                <c:pt idx="5">
                  <c:v>6.8154451312515043</c:v>
                </c:pt>
                <c:pt idx="6">
                  <c:v>5.5470819619491047</c:v>
                </c:pt>
                <c:pt idx="7">
                  <c:v>5.7317171068475554</c:v>
                </c:pt>
                <c:pt idx="8">
                  <c:v>3.7970618929116164</c:v>
                </c:pt>
                <c:pt idx="9">
                  <c:v>3.243156458216264</c:v>
                </c:pt>
                <c:pt idx="10">
                  <c:v>2.6571405635385728</c:v>
                </c:pt>
                <c:pt idx="11">
                  <c:v>2.5447539536003849</c:v>
                </c:pt>
                <c:pt idx="12">
                  <c:v>2.4484225736533674</c:v>
                </c:pt>
                <c:pt idx="13">
                  <c:v>2.3440635787107649</c:v>
                </c:pt>
                <c:pt idx="14">
                  <c:v>2.2477321987637469</c:v>
                </c:pt>
                <c:pt idx="15">
                  <c:v>2.1594284338123142</c:v>
                </c:pt>
                <c:pt idx="16">
                  <c:v>2.0711246688608815</c:v>
                </c:pt>
                <c:pt idx="17">
                  <c:v>2.0149313638917876</c:v>
                </c:pt>
                <c:pt idx="18">
                  <c:v>2.0711246688608815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A4-4B73-BC80-4810A2B97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3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</a:ln>
          <a:extLst>
            <a:ext uri="http://www.gnumeric.org/ext/spreadsheetml">
              <gnmx:gostyle xmlns:gnmx="http://www.gnumeric.org/ext/spreadsheetml" xmlns:r="http://schemas.openxmlformats.org/officeDocument/2006/relationships" xmlns="" dashType="auto"/>
            </a:ext>
          </a:extLst>
        </c:spPr>
        <c:txPr>
          <a:bodyPr rot="4800000"/>
          <a:lstStyle/>
          <a:p>
            <a:pPr>
              <a:defRPr sz="900">
                <a:solidFill>
                  <a:srgbClr val="595959"/>
                </a:solidFill>
                <a:latin typeface="+mn-lt"/>
              </a:defRPr>
            </a:pPr>
            <a:endParaRPr lang="en-US"/>
          </a:p>
        </c:txPr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</a:ln>
            <a:extLst>
              <a:ext uri="http://www.gnumeric.org/ext/spreadsheetml">
                <gnmx:gostyle xmlns:gnmx="http://www.gnumeric.org/ext/spreadsheetml" xmlns:r="http://schemas.openxmlformats.org/officeDocument/2006/relationships" xmlns="" dashType="auto"/>
              </a:ext>
            </a:extLst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</a:ln>
          <a:extLst>
            <a:ext uri="http://www.gnumeric.org/ext/spreadsheetml">
              <gnmx:gostyle xmlns:gnmx="http://www.gnumeric.org/ext/spreadsheetml" xmlns:r="http://schemas.openxmlformats.org/officeDocument/2006/relationships" xmlns="" dashType="auto"/>
            </a:ext>
          </a:extLst>
        </c:spPr>
        <c:txPr>
          <a:bodyPr rot="4800000"/>
          <a:lstStyle/>
          <a:p>
            <a:pPr>
              <a:defRPr sz="900">
                <a:solidFill>
                  <a:srgbClr val="595959"/>
                </a:solidFill>
                <a:latin typeface="+mn-lt"/>
              </a:defRPr>
            </a:pPr>
            <a:endParaRPr lang="en-US"/>
          </a:p>
        </c:txPr>
        <c:crossAx val="3"/>
        <c:crosses val="autoZero"/>
        <c:crossBetween val="midCat"/>
      </c:valAx>
    </c:plotArea>
    <c:legend>
      <c:legendPos val="r"/>
      <c:overlay val="1"/>
      <c:spPr>
        <a:noFill/>
        <a:ln>
          <a:noFill/>
        </a:ln>
      </c:spPr>
      <c:txPr>
        <a:bodyPr/>
        <a:lstStyle/>
        <a:p>
          <a:pPr>
            <a:defRPr sz="900">
              <a:solidFill>
                <a:srgbClr val="595959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noFill/>
    <a:ln w="9360">
      <a:solidFill>
        <a:srgbClr val="D9D9D9"/>
      </a:solidFill>
    </a:ln>
    <a:extLst>
      <a:ext uri="http://www.gnumeric.org/ext/spreadsheetml">
        <gnmx:gostyle xmlns:gnmx="http://www.gnumeric.org/ext/spreadsheetml" xmlns:r="http://schemas.openxmlformats.org/officeDocument/2006/relationships" xmlns="" dashType="auto"/>
      </a:ext>
    </a:extLst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sz="1400" b="1">
                <a:solidFill>
                  <a:srgbClr val="595959"/>
                </a:solidFill>
                <a:latin typeface="+mn-lt"/>
              </a:rPr>
              <a:t>Massive corals - no reproduction</a:t>
            </a:r>
          </a:p>
        </c:rich>
      </c:tx>
      <c:overlay val="0"/>
      <c:spPr>
        <a:ln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T0</c:v>
          </c:tx>
          <c:spPr>
            <a:ln w="9360">
              <a:solidFill>
                <a:srgbClr val="4472C4"/>
              </a:solidFill>
            </a:ln>
            <a:extLst>
              <a:ext uri="http://www.gnumeric.org/ext/spreadsheetml">
                <gnmx:gostyle xmlns:gnmx="http://www.gnumeric.org/ext/spreadsheetml" xmlns:r="http://schemas.openxmlformats.org/officeDocument/2006/relationships" xmlns="" dashType="auto" pattern="solid" auto-pattern="0"/>
              </a:ext>
            </a:extLst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xVal>
            <c:numRef>
              <c:f>'New PSD'!$E$1:$W$1</c:f>
              <c:numCache>
                <c:formatCode>0.0</c:formatCode>
                <c:ptCount val="19"/>
                <c:pt idx="0">
                  <c:v>7.5</c:v>
                </c:pt>
                <c:pt idx="1">
                  <c:v>12.5</c:v>
                </c:pt>
                <c:pt idx="2">
                  <c:v>17.5</c:v>
                </c:pt>
                <c:pt idx="3">
                  <c:v>22.5</c:v>
                </c:pt>
                <c:pt idx="4">
                  <c:v>27.5</c:v>
                </c:pt>
                <c:pt idx="5">
                  <c:v>32.5</c:v>
                </c:pt>
                <c:pt idx="6">
                  <c:v>37.5</c:v>
                </c:pt>
                <c:pt idx="7">
                  <c:v>42.5</c:v>
                </c:pt>
                <c:pt idx="8">
                  <c:v>47.5</c:v>
                </c:pt>
                <c:pt idx="9">
                  <c:v>52.5</c:v>
                </c:pt>
                <c:pt idx="10">
                  <c:v>57.5</c:v>
                </c:pt>
                <c:pt idx="11">
                  <c:v>62.5</c:v>
                </c:pt>
                <c:pt idx="12">
                  <c:v>67.5</c:v>
                </c:pt>
                <c:pt idx="13">
                  <c:v>72.5</c:v>
                </c:pt>
                <c:pt idx="14">
                  <c:v>77.5</c:v>
                </c:pt>
                <c:pt idx="15">
                  <c:v>82.5</c:v>
                </c:pt>
                <c:pt idx="16">
                  <c:v>87.5</c:v>
                </c:pt>
                <c:pt idx="17">
                  <c:v>92.5</c:v>
                </c:pt>
                <c:pt idx="18">
                  <c:v>100</c:v>
                </c:pt>
              </c:numCache>
            </c:numRef>
          </c:xVal>
          <c:yVal>
            <c:numRef>
              <c:f>'New PSD'!$E$5:$W$5</c:f>
              <c:numCache>
                <c:formatCode>0.0</c:formatCode>
                <c:ptCount val="19"/>
                <c:pt idx="0">
                  <c:v>10.072838089634599</c:v>
                </c:pt>
                <c:pt idx="1">
                  <c:v>23.364245155086898</c:v>
                </c:pt>
                <c:pt idx="2">
                  <c:v>10.320223841852799</c:v>
                </c:pt>
                <c:pt idx="3">
                  <c:v>9.6909946985015001</c:v>
                </c:pt>
                <c:pt idx="4">
                  <c:v>5.7799122732969002</c:v>
                </c:pt>
                <c:pt idx="5">
                  <c:v>5.7298337090961704</c:v>
                </c:pt>
                <c:pt idx="6">
                  <c:v>4.71450417964446</c:v>
                </c:pt>
                <c:pt idx="7">
                  <c:v>5.3401012911194004</c:v>
                </c:pt>
                <c:pt idx="8">
                  <c:v>3.3112582481541799</c:v>
                </c:pt>
                <c:pt idx="9">
                  <c:v>2.9233418461156102</c:v>
                </c:pt>
                <c:pt idx="10">
                  <c:v>2.4871628958144898</c:v>
                </c:pt>
                <c:pt idx="11">
                  <c:v>2.1664662557972099</c:v>
                </c:pt>
                <c:pt idx="12">
                  <c:v>1.8457696157799399</c:v>
                </c:pt>
                <c:pt idx="13">
                  <c:v>1.52507297576266</c:v>
                </c:pt>
                <c:pt idx="14">
                  <c:v>1.20437633574539</c:v>
                </c:pt>
                <c:pt idx="15">
                  <c:v>0.883679695728115</c:v>
                </c:pt>
                <c:pt idx="16">
                  <c:v>0.56298305571083995</c:v>
                </c:pt>
                <c:pt idx="17">
                  <c:v>0.29054896395611401</c:v>
                </c:pt>
                <c:pt idx="1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83-4B20-B671-F763D2C6197B}"/>
            </c:ext>
          </c:extLst>
        </c:ser>
        <c:ser>
          <c:idx val="1"/>
          <c:order val="1"/>
          <c:tx>
            <c:v>T1</c:v>
          </c:tx>
          <c:spPr>
            <a:ln w="9360">
              <a:solidFill>
                <a:srgbClr val="ED7D31"/>
              </a:solidFill>
            </a:ln>
            <a:extLst>
              <a:ext uri="http://www.gnumeric.org/ext/spreadsheetml">
                <gnmx:gostyle xmlns:gnmx="http://www.gnumeric.org/ext/spreadsheetml" xmlns:r="http://schemas.openxmlformats.org/officeDocument/2006/relationships" xmlns="" dashType="auto" pattern="solid" auto-pattern="0"/>
              </a:ext>
            </a:extLst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xVal>
            <c:numRef>
              <c:f>'New PSD'!$E$1:$W$1</c:f>
              <c:numCache>
                <c:formatCode>0.0</c:formatCode>
                <c:ptCount val="19"/>
                <c:pt idx="0">
                  <c:v>7.5</c:v>
                </c:pt>
                <c:pt idx="1">
                  <c:v>12.5</c:v>
                </c:pt>
                <c:pt idx="2">
                  <c:v>17.5</c:v>
                </c:pt>
                <c:pt idx="3">
                  <c:v>22.5</c:v>
                </c:pt>
                <c:pt idx="4">
                  <c:v>27.5</c:v>
                </c:pt>
                <c:pt idx="5">
                  <c:v>32.5</c:v>
                </c:pt>
                <c:pt idx="6">
                  <c:v>37.5</c:v>
                </c:pt>
                <c:pt idx="7">
                  <c:v>42.5</c:v>
                </c:pt>
                <c:pt idx="8">
                  <c:v>47.5</c:v>
                </c:pt>
                <c:pt idx="9">
                  <c:v>52.5</c:v>
                </c:pt>
                <c:pt idx="10">
                  <c:v>57.5</c:v>
                </c:pt>
                <c:pt idx="11">
                  <c:v>62.5</c:v>
                </c:pt>
                <c:pt idx="12">
                  <c:v>67.5</c:v>
                </c:pt>
                <c:pt idx="13">
                  <c:v>72.5</c:v>
                </c:pt>
                <c:pt idx="14">
                  <c:v>77.5</c:v>
                </c:pt>
                <c:pt idx="15">
                  <c:v>82.5</c:v>
                </c:pt>
                <c:pt idx="16">
                  <c:v>87.5</c:v>
                </c:pt>
                <c:pt idx="17">
                  <c:v>92.5</c:v>
                </c:pt>
                <c:pt idx="18">
                  <c:v>100</c:v>
                </c:pt>
              </c:numCache>
            </c:numRef>
          </c:xVal>
          <c:yVal>
            <c:numRef>
              <c:f>'New PSD'!$E$33:$W$33</c:f>
              <c:numCache>
                <c:formatCode>0.00</c:formatCode>
                <c:ptCount val="19"/>
                <c:pt idx="0">
                  <c:v>13.151219512195125</c:v>
                </c:pt>
                <c:pt idx="1">
                  <c:v>26.897560975609764</c:v>
                </c:pt>
                <c:pt idx="2">
                  <c:v>11.365853658536588</c:v>
                </c:pt>
                <c:pt idx="3">
                  <c:v>10.282926829268295</c:v>
                </c:pt>
                <c:pt idx="4">
                  <c:v>5.9804878048780505</c:v>
                </c:pt>
                <c:pt idx="5">
                  <c:v>5.814634146341465</c:v>
                </c:pt>
                <c:pt idx="6">
                  <c:v>4.7219512195121967</c:v>
                </c:pt>
                <c:pt idx="7">
                  <c:v>5.2682926829268313</c:v>
                </c:pt>
                <c:pt idx="8">
                  <c:v>3.2390243902439031</c:v>
                </c:pt>
                <c:pt idx="9">
                  <c:v>2.8390243902439032</c:v>
                </c:pt>
                <c:pt idx="10">
                  <c:v>2.4000000000000008</c:v>
                </c:pt>
                <c:pt idx="11">
                  <c:v>2.0780487804878054</c:v>
                </c:pt>
                <c:pt idx="12">
                  <c:v>1.7560975609756102</c:v>
                </c:pt>
                <c:pt idx="13">
                  <c:v>1.4439024390243906</c:v>
                </c:pt>
                <c:pt idx="14">
                  <c:v>1.1317073170731711</c:v>
                </c:pt>
                <c:pt idx="15">
                  <c:v>0.82926829268292701</c:v>
                </c:pt>
                <c:pt idx="16">
                  <c:v>0.52682926829268317</c:v>
                </c:pt>
                <c:pt idx="17">
                  <c:v>0.2731707317073172</c:v>
                </c:pt>
                <c:pt idx="1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083-4B20-B671-F763D2C61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"/>
        <c:axId val="6"/>
      </c:scatterChart>
      <c:valAx>
        <c:axId val="5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</a:ln>
          <a:extLst>
            <a:ext uri="http://www.gnumeric.org/ext/spreadsheetml">
              <gnmx:gostyle xmlns:gnmx="http://www.gnumeric.org/ext/spreadsheetml" xmlns:r="http://schemas.openxmlformats.org/officeDocument/2006/relationships" xmlns="" dashType="auto"/>
            </a:ext>
          </a:extLst>
        </c:spPr>
        <c:txPr>
          <a:bodyPr rot="4800000"/>
          <a:lstStyle/>
          <a:p>
            <a:pPr>
              <a:defRPr sz="900">
                <a:solidFill>
                  <a:srgbClr val="595959"/>
                </a:solidFill>
                <a:latin typeface="+mn-lt"/>
              </a:defRPr>
            </a:pPr>
            <a:endParaRPr lang="en-US"/>
          </a:p>
        </c:txPr>
        <c:crossAx val="6"/>
        <c:crosses val="autoZero"/>
        <c:crossBetween val="midCat"/>
      </c:valAx>
      <c:valAx>
        <c:axId val="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</a:ln>
            <a:extLst>
              <a:ext uri="http://www.gnumeric.org/ext/spreadsheetml">
                <gnmx:gostyle xmlns:gnmx="http://www.gnumeric.org/ext/spreadsheetml" xmlns:r="http://schemas.openxmlformats.org/officeDocument/2006/relationships" xmlns="" dashType="auto"/>
              </a:ext>
            </a:extLst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</a:ln>
          <a:extLst>
            <a:ext uri="http://www.gnumeric.org/ext/spreadsheetml">
              <gnmx:gostyle xmlns:gnmx="http://www.gnumeric.org/ext/spreadsheetml" xmlns:r="http://schemas.openxmlformats.org/officeDocument/2006/relationships" xmlns="" dashType="auto"/>
            </a:ext>
          </a:extLst>
        </c:spPr>
        <c:txPr>
          <a:bodyPr rot="4800000"/>
          <a:lstStyle/>
          <a:p>
            <a:pPr>
              <a:defRPr sz="900">
                <a:solidFill>
                  <a:srgbClr val="595959"/>
                </a:solidFill>
                <a:latin typeface="+mn-lt"/>
              </a:defRPr>
            </a:pPr>
            <a:endParaRPr lang="en-US"/>
          </a:p>
        </c:txPr>
        <c:crossAx val="5"/>
        <c:crosses val="autoZero"/>
        <c:crossBetween val="midCat"/>
      </c:valAx>
    </c:plotArea>
    <c:legend>
      <c:legendPos val="r"/>
      <c:overlay val="1"/>
      <c:spPr>
        <a:noFill/>
        <a:ln>
          <a:noFill/>
        </a:ln>
      </c:spPr>
      <c:txPr>
        <a:bodyPr/>
        <a:lstStyle/>
        <a:p>
          <a:pPr>
            <a:defRPr sz="900">
              <a:solidFill>
                <a:srgbClr val="595959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noFill/>
    <a:ln w="9360">
      <a:solidFill>
        <a:srgbClr val="D9D9D9"/>
      </a:solidFill>
    </a:ln>
    <a:extLst>
      <a:ext uri="http://www.gnumeric.org/ext/spreadsheetml">
        <gnmx:gostyle xmlns:gnmx="http://www.gnumeric.org/ext/spreadsheetml" xmlns:r="http://schemas.openxmlformats.org/officeDocument/2006/relationships" xmlns="" dashType="auto"/>
      </a:ext>
    </a:extLst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50800</xdr:colOff>
      <xdr:row>34</xdr:row>
      <xdr:rowOff>88900</xdr:rowOff>
    </xdr:to>
    <xdr:sp macro="" textlink="">
      <xdr:nvSpPr>
        <xdr:cNvPr id="1026" name="#_x0000_t201" hidden="1">
          <a:extLst>
            <a:ext uri="{FF2B5EF4-FFF2-40B4-BE49-F238E27FC236}">
              <a16:creationId xmlns:a16="http://schemas.microsoft.com/office/drawing/2014/main" id="{763BE74F-C06E-AB14-A678-6BA51210E48A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222120</xdr:colOff>
      <xdr:row>5</xdr:row>
      <xdr:rowOff>156960</xdr:rowOff>
    </xdr:from>
    <xdr:to>
      <xdr:col>31</xdr:col>
      <xdr:colOff>538920</xdr:colOff>
      <xdr:row>20</xdr:row>
      <xdr:rowOff>14760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235800</xdr:colOff>
      <xdr:row>20</xdr:row>
      <xdr:rowOff>54360</xdr:rowOff>
    </xdr:from>
    <xdr:to>
      <xdr:col>31</xdr:col>
      <xdr:colOff>552599</xdr:colOff>
      <xdr:row>35</xdr:row>
      <xdr:rowOff>75240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371880</xdr:colOff>
      <xdr:row>35</xdr:row>
      <xdr:rowOff>154080</xdr:rowOff>
    </xdr:from>
    <xdr:to>
      <xdr:col>32</xdr:col>
      <xdr:colOff>81000</xdr:colOff>
      <xdr:row>50</xdr:row>
      <xdr:rowOff>174960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6"/>
  <sheetViews>
    <sheetView workbookViewId="0">
      <selection activeCell="W12" sqref="W12"/>
    </sheetView>
  </sheetViews>
  <sheetFormatPr defaultColWidth="9.1796875" defaultRowHeight="14.5"/>
  <cols>
    <col min="1" max="1" width="10.453125" style="1" bestFit="1" customWidth="1"/>
    <col min="2" max="3" width="10" style="2" customWidth="1"/>
    <col min="4" max="4" width="25.08984375" style="2" customWidth="1"/>
    <col min="5" max="11" width="10" style="2" customWidth="1"/>
    <col min="12" max="17" width="10.453125" style="1" bestFit="1" customWidth="1"/>
    <col min="18" max="18" width="12.81640625" style="2" customWidth="1"/>
    <col min="19" max="19" width="10" style="2" customWidth="1"/>
    <col min="20" max="1024" width="10.453125" style="1" bestFit="1" customWidth="1"/>
    <col min="1025" max="16384" width="9.1796875" style="3"/>
  </cols>
  <sheetData>
    <row r="1" spans="1:22">
      <c r="A1" s="4"/>
      <c r="B1" s="4"/>
      <c r="C1" s="4"/>
      <c r="D1" s="5"/>
      <c r="E1" s="5"/>
      <c r="F1" s="4"/>
      <c r="G1" s="4"/>
      <c r="H1" s="6"/>
      <c r="I1" s="6"/>
      <c r="J1" s="6"/>
      <c r="K1" s="4"/>
      <c r="L1" s="46" t="s">
        <v>37</v>
      </c>
      <c r="M1" s="46"/>
      <c r="N1" s="46"/>
      <c r="O1" s="46" t="s">
        <v>38</v>
      </c>
      <c r="P1" s="46"/>
      <c r="Q1" s="46"/>
    </row>
    <row r="2" spans="1:22" ht="43.5">
      <c r="A2" s="7" t="s">
        <v>39</v>
      </c>
      <c r="B2" s="7" t="s">
        <v>40</v>
      </c>
      <c r="C2" s="8" t="s">
        <v>41</v>
      </c>
      <c r="D2" s="7" t="s">
        <v>42</v>
      </c>
      <c r="E2" s="7" t="s">
        <v>43</v>
      </c>
      <c r="F2" s="9" t="s">
        <v>44</v>
      </c>
      <c r="G2" s="8" t="s">
        <v>45</v>
      </c>
      <c r="H2" s="10" t="s">
        <v>0</v>
      </c>
      <c r="I2" s="10" t="s">
        <v>1</v>
      </c>
      <c r="J2" s="10" t="s">
        <v>2</v>
      </c>
      <c r="K2" s="8" t="s">
        <v>46</v>
      </c>
      <c r="L2" s="10" t="s">
        <v>0</v>
      </c>
      <c r="M2" s="10" t="s">
        <v>1</v>
      </c>
      <c r="N2" s="10" t="s">
        <v>2</v>
      </c>
      <c r="O2" s="10" t="s">
        <v>0</v>
      </c>
      <c r="P2" s="10" t="s">
        <v>1</v>
      </c>
      <c r="Q2" s="10" t="s">
        <v>2</v>
      </c>
      <c r="R2" s="8" t="s">
        <v>47</v>
      </c>
      <c r="S2" s="8" t="s">
        <v>48</v>
      </c>
      <c r="T2" s="8" t="s">
        <v>49</v>
      </c>
      <c r="U2" s="8" t="s">
        <v>50</v>
      </c>
      <c r="V2" s="8" t="s">
        <v>51</v>
      </c>
    </row>
    <row r="3" spans="1:22">
      <c r="A3" s="4" t="s">
        <v>52</v>
      </c>
      <c r="B3" s="11">
        <v>43739</v>
      </c>
      <c r="C3" s="4">
        <v>13</v>
      </c>
      <c r="D3" s="4" t="s">
        <v>53</v>
      </c>
      <c r="E3" s="4">
        <v>2</v>
      </c>
      <c r="F3" s="12">
        <v>381288.75617083302</v>
      </c>
      <c r="G3" s="13">
        <v>65</v>
      </c>
      <c r="H3" s="14">
        <v>7.3758865248226897</v>
      </c>
      <c r="I3" s="14">
        <v>41.028368794326198</v>
      </c>
      <c r="J3" s="14">
        <v>16.595744680851102</v>
      </c>
      <c r="K3" s="4">
        <v>2.0699999999999998</v>
      </c>
      <c r="L3" s="4">
        <v>12.88</v>
      </c>
      <c r="M3" s="4">
        <v>7.5</v>
      </c>
      <c r="N3" s="4">
        <v>31.6</v>
      </c>
      <c r="O3" s="4">
        <v>27.1</v>
      </c>
      <c r="P3" s="4">
        <v>26.9</v>
      </c>
      <c r="Q3" s="4">
        <v>48.9</v>
      </c>
      <c r="R3" s="4">
        <v>94.93</v>
      </c>
      <c r="S3" s="4">
        <v>16.059999999999999</v>
      </c>
      <c r="T3" s="14">
        <f>R3-G3-S3</f>
        <v>13.870000000000008</v>
      </c>
      <c r="U3" s="4">
        <v>4.6100000000000003</v>
      </c>
      <c r="V3" s="13">
        <f>G3-U3</f>
        <v>60.39</v>
      </c>
    </row>
    <row r="6" spans="1:22">
      <c r="A6" s="15" t="s">
        <v>54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">
    <mergeCell ref="L1:N1"/>
    <mergeCell ref="O1:Q1"/>
  </mergeCells>
  <pageMargins left="0.7" right="0.7" top="0.75" bottom="0.75" header="0.511811023622047" footer="0.511811023622047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4"/>
  <sheetViews>
    <sheetView tabSelected="1" workbookViewId="0">
      <selection activeCell="H11" sqref="H11"/>
    </sheetView>
  </sheetViews>
  <sheetFormatPr defaultColWidth="9.1796875" defaultRowHeight="14.5"/>
  <cols>
    <col min="1" max="1024" width="10.453125" style="1" bestFit="1" customWidth="1"/>
    <col min="1025" max="16384" width="9.1796875" style="3"/>
  </cols>
  <sheetData>
    <row r="1" spans="1:4">
      <c r="A1" t="s">
        <v>3</v>
      </c>
      <c r="B1" s="2" t="s">
        <v>4</v>
      </c>
      <c r="C1" s="2" t="s">
        <v>5</v>
      </c>
      <c r="D1" s="2" t="s">
        <v>6</v>
      </c>
    </row>
    <row r="2" spans="1:4">
      <c r="A2" s="16">
        <v>5</v>
      </c>
      <c r="B2" s="50">
        <v>1</v>
      </c>
      <c r="C2" s="50">
        <v>2.8405862970117037</v>
      </c>
      <c r="D2" s="50">
        <v>18.76700760063807</v>
      </c>
    </row>
    <row r="3" spans="1:4">
      <c r="A3" s="16">
        <v>10</v>
      </c>
      <c r="B3" s="50">
        <v>8.5</v>
      </c>
      <c r="C3" s="50">
        <v>13.256069386054618</v>
      </c>
      <c r="D3" s="50">
        <v>25.335460260861403</v>
      </c>
    </row>
    <row r="4" spans="1:4">
      <c r="A4" s="16">
        <v>15</v>
      </c>
      <c r="B4" s="50">
        <v>11.459304191049521</v>
      </c>
      <c r="C4" s="50">
        <v>14.202931485058517</v>
      </c>
      <c r="D4" s="50">
        <v>19.705357980669977</v>
      </c>
    </row>
    <row r="5" spans="1:4">
      <c r="A5" s="16">
        <v>20</v>
      </c>
      <c r="B5" s="50">
        <v>10.186048169821795</v>
      </c>
      <c r="C5" s="50">
        <v>7.5748967920312102</v>
      </c>
      <c r="D5" s="50">
        <v>4.6917519001595176</v>
      </c>
    </row>
    <row r="6" spans="1:4">
      <c r="A6" s="16">
        <v>25</v>
      </c>
      <c r="B6" s="50">
        <v>9.2788532546970419</v>
      </c>
      <c r="C6" s="50">
        <v>6.9868954285497873</v>
      </c>
      <c r="D6" s="50">
        <v>4.3398705076475537</v>
      </c>
    </row>
    <row r="7" spans="1:4">
      <c r="A7" s="16">
        <v>30</v>
      </c>
      <c r="B7" s="50">
        <v>8.3716583395722886</v>
      </c>
      <c r="C7" s="50">
        <v>6.3988940650683643</v>
      </c>
      <c r="D7" s="50">
        <v>3.9879891151355902</v>
      </c>
    </row>
    <row r="8" spans="1:4">
      <c r="A8" s="16">
        <v>35</v>
      </c>
      <c r="B8" s="50">
        <v>7.4644634244475343</v>
      </c>
      <c r="C8" s="50">
        <v>5.8108927015869423</v>
      </c>
      <c r="D8" s="50">
        <v>3.6361077226236258</v>
      </c>
    </row>
    <row r="9" spans="1:4">
      <c r="A9" s="16">
        <v>40</v>
      </c>
      <c r="B9" s="50">
        <v>6.5572685093227809</v>
      </c>
      <c r="C9" s="50">
        <v>5.2228913381055193</v>
      </c>
      <c r="D9" s="50">
        <v>3.2842263301116623</v>
      </c>
    </row>
    <row r="10" spans="1:4">
      <c r="A10" s="16">
        <v>45</v>
      </c>
      <c r="B10" s="50">
        <v>5.6500735941980276</v>
      </c>
      <c r="C10" s="50">
        <v>4.6348899746240972</v>
      </c>
      <c r="D10" s="50">
        <v>2.9323449375996979</v>
      </c>
    </row>
    <row r="11" spans="1:4">
      <c r="A11" s="16">
        <v>50</v>
      </c>
      <c r="B11" s="50">
        <v>4.7428786790732733</v>
      </c>
      <c r="C11" s="50">
        <v>4.0468886111426743</v>
      </c>
      <c r="D11" s="50">
        <v>2.580463545087734</v>
      </c>
    </row>
    <row r="12" spans="1:4">
      <c r="A12" s="16">
        <v>55</v>
      </c>
      <c r="B12" s="50">
        <v>3.83568376394852</v>
      </c>
      <c r="C12" s="50">
        <v>3.4588872476612522</v>
      </c>
      <c r="D12" s="50">
        <v>2.2285821525757701</v>
      </c>
    </row>
    <row r="13" spans="1:4">
      <c r="A13" s="16">
        <v>60</v>
      </c>
      <c r="B13" s="50">
        <v>3.183140053069311</v>
      </c>
      <c r="C13" s="50">
        <v>2.8405862970117033</v>
      </c>
      <c r="D13" s="50">
        <v>1.8767007600638073</v>
      </c>
    </row>
    <row r="14" spans="1:4">
      <c r="A14" s="16">
        <v>65</v>
      </c>
      <c r="B14" s="50">
        <v>3.0234737480073548</v>
      </c>
      <c r="C14" s="50">
        <v>2.8405862970117033</v>
      </c>
      <c r="D14" s="50">
        <v>1.644459041005911</v>
      </c>
    </row>
    <row r="15" spans="1:4">
      <c r="A15" s="16">
        <v>70</v>
      </c>
      <c r="B15" s="50">
        <v>2.8638074429453977</v>
      </c>
      <c r="C15" s="50">
        <v>2.8405862970117033</v>
      </c>
      <c r="D15" s="50">
        <v>1.412217321948015</v>
      </c>
    </row>
    <row r="16" spans="1:4">
      <c r="A16" s="16">
        <v>75</v>
      </c>
      <c r="B16" s="50">
        <v>2.704141137883441</v>
      </c>
      <c r="C16" s="50">
        <v>2.8405862970117033</v>
      </c>
      <c r="D16" s="50">
        <v>1.1799756028901187</v>
      </c>
    </row>
    <row r="17" spans="1:4">
      <c r="A17" s="16">
        <v>80</v>
      </c>
      <c r="B17" s="50">
        <v>2.5444748328214843</v>
      </c>
      <c r="C17" s="50">
        <v>2.8405862970117033</v>
      </c>
      <c r="D17" s="50">
        <v>0.94773388383222246</v>
      </c>
    </row>
    <row r="18" spans="1:4">
      <c r="A18" s="16">
        <v>85</v>
      </c>
      <c r="B18" s="50">
        <v>2.3848085277595277</v>
      </c>
      <c r="C18" s="50">
        <v>2.8405862970117033</v>
      </c>
      <c r="D18" s="50">
        <v>0.7154921647743262</v>
      </c>
    </row>
    <row r="19" spans="1:4">
      <c r="A19" s="16">
        <v>90</v>
      </c>
      <c r="B19" s="50">
        <v>2.2251422226975706</v>
      </c>
      <c r="C19" s="50">
        <v>2.8405862970117033</v>
      </c>
      <c r="D19" s="50">
        <v>0.48325044571643</v>
      </c>
    </row>
    <row r="20" spans="1:4">
      <c r="A20" s="16">
        <v>95</v>
      </c>
      <c r="B20" s="50">
        <v>2.0654759176356139</v>
      </c>
      <c r="C20" s="50">
        <v>2.8405862970117033</v>
      </c>
      <c r="D20" s="50">
        <v>0.2510087266585338</v>
      </c>
    </row>
    <row r="21" spans="1:4">
      <c r="A21" s="16">
        <v>100</v>
      </c>
      <c r="B21" s="50">
        <v>1.9098840318415868</v>
      </c>
      <c r="C21" s="50">
        <v>2.8405862970117033</v>
      </c>
      <c r="D21" s="50">
        <v>0</v>
      </c>
    </row>
    <row r="23" spans="1:4">
      <c r="C23" s="18"/>
      <c r="D23" s="18"/>
    </row>
    <row r="24" spans="1:4">
      <c r="B24" s="18"/>
      <c r="C24" s="18"/>
      <c r="D24" s="18"/>
    </row>
  </sheetData>
  <sheetProtection formatCells="0" formatColumns="0" formatRows="0" insertColumns="0" insertRows="0" insertHyperlinks="0" deleteColumns="0" deleteRows="0" selectLockedCells="1" sort="0" autoFilter="0" pivotTables="0" selectUnlockedCells="1"/>
  <pageMargins left="0.7" right="0.7" top="0.75" bottom="0.75" header="0.511811023622047" footer="0.5118110236220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37"/>
  <sheetViews>
    <sheetView workbookViewId="0">
      <selection activeCell="AK56" sqref="AK56"/>
    </sheetView>
  </sheetViews>
  <sheetFormatPr defaultColWidth="9.1796875" defaultRowHeight="14.5"/>
  <cols>
    <col min="1" max="1" width="20.81640625" style="1" customWidth="1"/>
    <col min="2" max="3" width="10.453125" style="1" bestFit="1" customWidth="1"/>
    <col min="4" max="4" width="18" style="1" customWidth="1"/>
    <col min="5" max="5" width="10.453125" style="1" bestFit="1" customWidth="1"/>
    <col min="6" max="24" width="10" style="2" customWidth="1"/>
    <col min="25" max="25" width="20.54296875" style="2" customWidth="1"/>
    <col min="26" max="1024" width="10.453125" style="1" bestFit="1" customWidth="1"/>
    <col min="1025" max="16384" width="9.1796875" style="3"/>
  </cols>
  <sheetData>
    <row r="1" spans="1:25">
      <c r="A1" t="s">
        <v>55</v>
      </c>
      <c r="D1" t="s">
        <v>56</v>
      </c>
      <c r="E1" s="19"/>
      <c r="F1" s="17">
        <v>7.5</v>
      </c>
      <c r="G1" s="17">
        <v>12.5</v>
      </c>
      <c r="H1" s="17">
        <v>17.5</v>
      </c>
      <c r="I1" s="17">
        <v>22.5</v>
      </c>
      <c r="J1" s="17">
        <v>27.5</v>
      </c>
      <c r="K1" s="17">
        <v>32.5</v>
      </c>
      <c r="L1" s="17">
        <v>37.5</v>
      </c>
      <c r="M1" s="17">
        <v>42.5</v>
      </c>
      <c r="N1" s="17">
        <v>47.5</v>
      </c>
      <c r="O1" s="17">
        <v>52.5</v>
      </c>
      <c r="P1" s="17">
        <v>57.5</v>
      </c>
      <c r="Q1" s="17">
        <v>62.5</v>
      </c>
      <c r="R1" s="17">
        <v>67.5</v>
      </c>
      <c r="S1" s="17">
        <v>72.5</v>
      </c>
      <c r="T1" s="17">
        <v>77.5</v>
      </c>
      <c r="U1" s="17">
        <v>82.5</v>
      </c>
      <c r="V1" s="17">
        <v>87.5</v>
      </c>
      <c r="W1" s="17">
        <v>92.5</v>
      </c>
      <c r="X1" s="17">
        <v>100</v>
      </c>
    </row>
    <row r="2" spans="1:25">
      <c r="E2" s="19" t="s">
        <v>7</v>
      </c>
      <c r="F2" s="19">
        <v>10</v>
      </c>
      <c r="G2" s="19">
        <v>15</v>
      </c>
      <c r="H2" s="19">
        <v>20</v>
      </c>
      <c r="I2" s="19">
        <v>25</v>
      </c>
      <c r="J2" s="19">
        <v>30</v>
      </c>
      <c r="K2" s="19">
        <v>35</v>
      </c>
      <c r="L2" s="19">
        <v>40</v>
      </c>
      <c r="M2" s="19">
        <v>45</v>
      </c>
      <c r="N2" s="19">
        <v>50</v>
      </c>
      <c r="O2" s="19">
        <v>55</v>
      </c>
      <c r="P2" s="19">
        <v>60</v>
      </c>
      <c r="Q2" s="19">
        <v>65</v>
      </c>
      <c r="R2" s="19">
        <v>70</v>
      </c>
      <c r="S2" s="19">
        <v>75</v>
      </c>
      <c r="T2" s="19">
        <v>80</v>
      </c>
      <c r="U2" s="19">
        <v>85</v>
      </c>
      <c r="V2" s="19">
        <v>90</v>
      </c>
      <c r="W2" s="19">
        <v>95</v>
      </c>
      <c r="X2" s="19" t="s">
        <v>8</v>
      </c>
    </row>
    <row r="3" spans="1:25">
      <c r="A3" s="20" t="s">
        <v>9</v>
      </c>
      <c r="C3" t="s">
        <v>10</v>
      </c>
      <c r="D3" t="s">
        <v>11</v>
      </c>
      <c r="E3" t="s">
        <v>4</v>
      </c>
      <c r="F3" s="17">
        <v>1.50372953428766</v>
      </c>
      <c r="G3" s="17">
        <v>18.9821909046176</v>
      </c>
      <c r="H3" s="17">
        <v>15.7641084072662</v>
      </c>
      <c r="I3" s="17">
        <v>11.6972430758897</v>
      </c>
      <c r="J3" s="17">
        <v>9.9893039920042703</v>
      </c>
      <c r="K3" s="17">
        <v>8.2813649081188405</v>
      </c>
      <c r="L3" s="17">
        <v>6.5734258242334196</v>
      </c>
      <c r="M3" s="17">
        <v>4.8654867403480004</v>
      </c>
      <c r="N3" s="17">
        <v>3.15754765646258</v>
      </c>
      <c r="O3" s="17">
        <v>2.51418690283514</v>
      </c>
      <c r="P3" s="17">
        <v>2.0737914895557901</v>
      </c>
      <c r="Q3" s="17">
        <v>2.0262354925201902</v>
      </c>
      <c r="R3" s="17">
        <v>1.9786794954845901</v>
      </c>
      <c r="S3" s="17">
        <v>1.93112349844899</v>
      </c>
      <c r="T3" s="17">
        <v>1.8835675014133799</v>
      </c>
      <c r="U3" s="17">
        <v>1.83601150437778</v>
      </c>
      <c r="V3" s="17">
        <v>1.77351114396168</v>
      </c>
      <c r="W3" s="17">
        <v>1.6462518755634199</v>
      </c>
      <c r="X3" s="17">
        <v>1.52224005261074</v>
      </c>
    </row>
    <row r="4" spans="1:25">
      <c r="E4" t="s">
        <v>5</v>
      </c>
      <c r="F4" s="17">
        <v>0</v>
      </c>
      <c r="G4" s="17">
        <v>16.536143646336299</v>
      </c>
      <c r="H4" s="17">
        <v>12.002206366234599</v>
      </c>
      <c r="I4" s="17">
        <v>11.2170824878521</v>
      </c>
      <c r="J4" s="17">
        <v>7.4258582854396602</v>
      </c>
      <c r="K4" s="17">
        <v>7.1712226995330202</v>
      </c>
      <c r="L4" s="17">
        <v>6.0324399594999498</v>
      </c>
      <c r="M4" s="17">
        <v>6.3967073814818196</v>
      </c>
      <c r="N4" s="17">
        <v>4.3295701296159796</v>
      </c>
      <c r="O4" s="17">
        <v>3.76548303976509</v>
      </c>
      <c r="P4" s="17">
        <v>3.1303992984419802</v>
      </c>
      <c r="Q4" s="17">
        <v>3.0419845830293299</v>
      </c>
      <c r="R4" s="17">
        <v>2.9535698676166899</v>
      </c>
      <c r="S4" s="17">
        <v>2.8651551522040402</v>
      </c>
      <c r="T4" s="17">
        <v>2.7767404367914001</v>
      </c>
      <c r="U4" s="17">
        <v>2.6883257213787499</v>
      </c>
      <c r="V4" s="17">
        <v>2.5999110059661099</v>
      </c>
      <c r="W4" s="17">
        <v>2.5557036482597901</v>
      </c>
      <c r="X4" s="17">
        <v>2.5114962905534699</v>
      </c>
    </row>
    <row r="5" spans="1:25">
      <c r="A5" s="21"/>
      <c r="E5" t="s">
        <v>6</v>
      </c>
      <c r="F5" s="17">
        <v>10.072838089634599</v>
      </c>
      <c r="G5" s="17">
        <v>23.364245155086898</v>
      </c>
      <c r="H5" s="17">
        <v>10.320223841852799</v>
      </c>
      <c r="I5" s="17">
        <v>9.6909946985015001</v>
      </c>
      <c r="J5" s="17">
        <v>5.7799122732969002</v>
      </c>
      <c r="K5" s="17">
        <v>5.7298337090961704</v>
      </c>
      <c r="L5" s="17">
        <v>4.71450417964446</v>
      </c>
      <c r="M5" s="17">
        <v>5.3401012911194004</v>
      </c>
      <c r="N5" s="17">
        <v>3.3112582481541799</v>
      </c>
      <c r="O5" s="17">
        <v>2.9233418461156102</v>
      </c>
      <c r="P5" s="17">
        <v>2.4871628958144898</v>
      </c>
      <c r="Q5" s="17">
        <v>2.1664662557972099</v>
      </c>
      <c r="R5" s="17">
        <v>1.8457696157799399</v>
      </c>
      <c r="S5" s="17">
        <v>1.52507297576266</v>
      </c>
      <c r="T5" s="17">
        <v>1.20437633574539</v>
      </c>
      <c r="U5" s="17">
        <v>0.883679695728115</v>
      </c>
      <c r="V5" s="17">
        <v>0.56298305571083995</v>
      </c>
      <c r="W5" s="17">
        <v>0.29054896395611401</v>
      </c>
      <c r="X5" s="17">
        <v>0</v>
      </c>
    </row>
    <row r="6" spans="1:25">
      <c r="A6" s="21"/>
      <c r="Y6" s="22" t="s">
        <v>12</v>
      </c>
    </row>
    <row r="7" spans="1:25">
      <c r="A7" s="21"/>
      <c r="D7" t="s">
        <v>13</v>
      </c>
      <c r="E7" t="s">
        <v>4</v>
      </c>
      <c r="F7" s="23">
        <f t="shared" ref="F7:X7" si="0">(F1/2)*(((2.27999999999999+(0.67*F1))/2)*3.14)*((F3/100))</f>
        <v>0.64672681759931283</v>
      </c>
      <c r="G7" s="23">
        <f t="shared" si="0"/>
        <v>19.846295826203718</v>
      </c>
      <c r="H7" s="23">
        <f t="shared" si="0"/>
        <v>30.329149466236942</v>
      </c>
      <c r="I7" s="23">
        <f t="shared" si="0"/>
        <v>35.855873563932342</v>
      </c>
      <c r="J7" s="23">
        <f t="shared" si="0"/>
        <v>44.649110889966529</v>
      </c>
      <c r="K7" s="23">
        <f t="shared" si="0"/>
        <v>50.823000409631753</v>
      </c>
      <c r="L7" s="23">
        <f t="shared" si="0"/>
        <v>53.030106281173758</v>
      </c>
      <c r="M7" s="23">
        <f t="shared" si="0"/>
        <v>49.922992662838233</v>
      </c>
      <c r="N7" s="23">
        <f t="shared" si="0"/>
        <v>40.154223712870831</v>
      </c>
      <c r="O7" s="23">
        <f t="shared" si="0"/>
        <v>38.809345732430053</v>
      </c>
      <c r="P7" s="23">
        <f t="shared" si="0"/>
        <v>38.195831738976374</v>
      </c>
      <c r="Q7" s="23">
        <f t="shared" si="0"/>
        <v>43.895447571999838</v>
      </c>
      <c r="R7" s="23">
        <f t="shared" si="0"/>
        <v>49.80675015330845</v>
      </c>
      <c r="S7" s="23">
        <f t="shared" si="0"/>
        <v>55.892221367940891</v>
      </c>
      <c r="T7" s="23">
        <f t="shared" si="0"/>
        <v>62.114343100935528</v>
      </c>
      <c r="U7" s="23">
        <f t="shared" si="0"/>
        <v>68.435597237331677</v>
      </c>
      <c r="V7" s="23">
        <f t="shared" si="0"/>
        <v>74.193281343163576</v>
      </c>
      <c r="W7" s="23">
        <f t="shared" si="0"/>
        <v>76.809440245184831</v>
      </c>
      <c r="X7" s="23">
        <f t="shared" si="0"/>
        <v>82.786720813224562</v>
      </c>
      <c r="Y7" s="24">
        <f>SUM(F7:X7)</f>
        <v>916.19645893494919</v>
      </c>
    </row>
    <row r="8" spans="1:25">
      <c r="A8" s="21"/>
      <c r="E8" t="s">
        <v>5</v>
      </c>
      <c r="F8" s="23">
        <f t="shared" ref="F8:X8" si="1">(F1/2)*(((2.27999999999999+(0.67*F1))/2)*3.14)*((F4/100))</f>
        <v>0</v>
      </c>
      <c r="G8" s="23">
        <f t="shared" si="1"/>
        <v>17.288899910386849</v>
      </c>
      <c r="H8" s="23">
        <f t="shared" si="1"/>
        <v>23.091487409358486</v>
      </c>
      <c r="I8" s="23">
        <f t="shared" si="1"/>
        <v>34.384024409104882</v>
      </c>
      <c r="J8" s="23">
        <f t="shared" si="1"/>
        <v>33.191298443331064</v>
      </c>
      <c r="K8" s="23">
        <f t="shared" si="1"/>
        <v>44.010022289757671</v>
      </c>
      <c r="L8" s="23">
        <f t="shared" si="1"/>
        <v>48.665785655897025</v>
      </c>
      <c r="M8" s="23">
        <f t="shared" si="1"/>
        <v>65.634291637017043</v>
      </c>
      <c r="N8" s="23">
        <f t="shared" si="1"/>
        <v>55.058718499257431</v>
      </c>
      <c r="O8" s="23">
        <f t="shared" si="1"/>
        <v>58.124530429720181</v>
      </c>
      <c r="P8" s="23">
        <f t="shared" si="1"/>
        <v>57.656811439954005</v>
      </c>
      <c r="Q8" s="23">
        <f t="shared" si="1"/>
        <v>65.900175607483192</v>
      </c>
      <c r="R8" s="23">
        <f t="shared" si="1"/>
        <v>74.346409710329183</v>
      </c>
      <c r="S8" s="23">
        <f t="shared" si="1"/>
        <v>82.925761169134589</v>
      </c>
      <c r="T8" s="23">
        <f t="shared" si="1"/>
        <v>91.568477404543017</v>
      </c>
      <c r="U8" s="23">
        <f t="shared" si="1"/>
        <v>100.20480583719691</v>
      </c>
      <c r="V8" s="23">
        <f t="shared" si="1"/>
        <v>108.76499388774006</v>
      </c>
      <c r="W8" s="23">
        <f t="shared" si="1"/>
        <v>119.24187882138507</v>
      </c>
      <c r="X8" s="23">
        <f t="shared" si="1"/>
        <v>136.58722346249235</v>
      </c>
      <c r="Y8" s="24">
        <f>SUM(F8:X8)</f>
        <v>1216.6455960240892</v>
      </c>
    </row>
    <row r="9" spans="1:25">
      <c r="A9" s="21"/>
      <c r="E9" t="s">
        <v>6</v>
      </c>
      <c r="F9" s="23">
        <f t="shared" ref="F9:X9" si="2">(F1/2)*(((2.27999999999999+(0.67*F1))/2)*3.14)*((F5/100))</f>
        <v>4.3321450921614613</v>
      </c>
      <c r="G9" s="23">
        <f t="shared" si="2"/>
        <v>24.427829402506099</v>
      </c>
      <c r="H9" s="23">
        <f t="shared" si="2"/>
        <v>19.855459207594755</v>
      </c>
      <c r="I9" s="23">
        <f t="shared" si="2"/>
        <v>29.706066494799153</v>
      </c>
      <c r="J9" s="23">
        <f t="shared" si="2"/>
        <v>25.834426926167922</v>
      </c>
      <c r="K9" s="23">
        <f t="shared" si="2"/>
        <v>35.164172111172661</v>
      </c>
      <c r="L9" s="23">
        <f t="shared" si="2"/>
        <v>38.033540560829159</v>
      </c>
      <c r="M9" s="23">
        <f t="shared" si="2"/>
        <v>54.792840223894821</v>
      </c>
      <c r="N9" s="23">
        <f t="shared" si="2"/>
        <v>42.108946224561095</v>
      </c>
      <c r="O9" s="23">
        <f t="shared" si="2"/>
        <v>45.125119485764969</v>
      </c>
      <c r="P9" s="23">
        <f t="shared" si="2"/>
        <v>45.809453821369708</v>
      </c>
      <c r="Q9" s="23">
        <f t="shared" si="2"/>
        <v>46.933343285568583</v>
      </c>
      <c r="R9" s="23">
        <f t="shared" si="2"/>
        <v>46.461180956042085</v>
      </c>
      <c r="S9" s="23">
        <f t="shared" si="2"/>
        <v>44.139961236064117</v>
      </c>
      <c r="T9" s="23">
        <f t="shared" si="2"/>
        <v>39.716678528909597</v>
      </c>
      <c r="U9" s="23">
        <f t="shared" si="2"/>
        <v>32.938327237852448</v>
      </c>
      <c r="V9" s="23">
        <f t="shared" si="2"/>
        <v>23.551901766167191</v>
      </c>
      <c r="W9" s="23">
        <f t="shared" si="2"/>
        <v>13.556190043913949</v>
      </c>
      <c r="X9" s="23">
        <f t="shared" si="2"/>
        <v>0</v>
      </c>
      <c r="Y9" s="24">
        <f>SUM(F9:X9)</f>
        <v>612.48758260533975</v>
      </c>
    </row>
    <row r="10" spans="1:25"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</row>
    <row r="11" spans="1:25"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</row>
    <row r="12" spans="1:25" ht="29">
      <c r="C12" t="s">
        <v>57</v>
      </c>
      <c r="D12" s="25" t="s">
        <v>58</v>
      </c>
      <c r="F12" s="26">
        <v>100</v>
      </c>
      <c r="G12" s="26">
        <f t="shared" ref="G12:X12" si="3">F12-2.5</f>
        <v>97.5</v>
      </c>
      <c r="H12" s="26">
        <f t="shared" si="3"/>
        <v>95</v>
      </c>
      <c r="I12" s="26">
        <f t="shared" si="3"/>
        <v>92.5</v>
      </c>
      <c r="J12" s="26">
        <f t="shared" si="3"/>
        <v>90</v>
      </c>
      <c r="K12" s="26">
        <f t="shared" si="3"/>
        <v>87.5</v>
      </c>
      <c r="L12" s="26">
        <f t="shared" si="3"/>
        <v>85</v>
      </c>
      <c r="M12" s="26">
        <f t="shared" si="3"/>
        <v>82.5</v>
      </c>
      <c r="N12" s="26">
        <f t="shared" si="3"/>
        <v>80</v>
      </c>
      <c r="O12" s="26">
        <f t="shared" si="3"/>
        <v>77.5</v>
      </c>
      <c r="P12" s="26">
        <f t="shared" si="3"/>
        <v>75</v>
      </c>
      <c r="Q12" s="26">
        <f t="shared" si="3"/>
        <v>72.5</v>
      </c>
      <c r="R12" s="26">
        <f t="shared" si="3"/>
        <v>70</v>
      </c>
      <c r="S12" s="26">
        <f t="shared" si="3"/>
        <v>67.5</v>
      </c>
      <c r="T12" s="26">
        <f t="shared" si="3"/>
        <v>65</v>
      </c>
      <c r="U12" s="26">
        <f t="shared" si="3"/>
        <v>62.5</v>
      </c>
      <c r="V12" s="26">
        <f t="shared" si="3"/>
        <v>60</v>
      </c>
      <c r="W12" s="26">
        <f t="shared" si="3"/>
        <v>57.5</v>
      </c>
      <c r="X12" s="26">
        <f t="shared" si="3"/>
        <v>55</v>
      </c>
      <c r="Y12" s="17"/>
    </row>
    <row r="13" spans="1:25">
      <c r="D13" s="25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</row>
    <row r="14" spans="1:25" ht="29">
      <c r="A14" s="25" t="s">
        <v>59</v>
      </c>
      <c r="D14" s="25" t="s">
        <v>60</v>
      </c>
      <c r="E14" t="s">
        <v>4</v>
      </c>
      <c r="F14" s="23">
        <f t="shared" ref="F14:X14" si="4">F1+((2*5.4)*(F12/100))</f>
        <v>18.3</v>
      </c>
      <c r="G14" s="23">
        <f t="shared" si="4"/>
        <v>23.03</v>
      </c>
      <c r="H14" s="23">
        <f t="shared" si="4"/>
        <v>27.759999999999998</v>
      </c>
      <c r="I14" s="23">
        <f t="shared" si="4"/>
        <v>32.49</v>
      </c>
      <c r="J14" s="23">
        <f t="shared" si="4"/>
        <v>37.22</v>
      </c>
      <c r="K14" s="23">
        <f t="shared" si="4"/>
        <v>41.95</v>
      </c>
      <c r="L14" s="23">
        <f t="shared" si="4"/>
        <v>46.68</v>
      </c>
      <c r="M14" s="23">
        <f t="shared" si="4"/>
        <v>51.41</v>
      </c>
      <c r="N14" s="23">
        <f t="shared" si="4"/>
        <v>56.14</v>
      </c>
      <c r="O14" s="23">
        <f t="shared" si="4"/>
        <v>60.870000000000005</v>
      </c>
      <c r="P14" s="23">
        <f t="shared" si="4"/>
        <v>65.599999999999994</v>
      </c>
      <c r="Q14" s="23">
        <f t="shared" si="4"/>
        <v>70.33</v>
      </c>
      <c r="R14" s="23">
        <f t="shared" si="4"/>
        <v>75.06</v>
      </c>
      <c r="S14" s="23">
        <f t="shared" si="4"/>
        <v>79.790000000000006</v>
      </c>
      <c r="T14" s="23">
        <f t="shared" si="4"/>
        <v>84.52</v>
      </c>
      <c r="U14" s="23">
        <f t="shared" si="4"/>
        <v>89.25</v>
      </c>
      <c r="V14" s="23">
        <f t="shared" si="4"/>
        <v>93.98</v>
      </c>
      <c r="W14" s="23">
        <f t="shared" si="4"/>
        <v>98.71</v>
      </c>
      <c r="X14" s="23">
        <f t="shared" si="4"/>
        <v>105.94</v>
      </c>
    </row>
    <row r="15" spans="1:25">
      <c r="A15" t="s">
        <v>61</v>
      </c>
      <c r="D15" s="25"/>
      <c r="E15" t="s">
        <v>5</v>
      </c>
      <c r="F15" s="26">
        <f t="shared" ref="F15:X15" si="5">F1+((2*2.1)*(F12/100))</f>
        <v>11.7</v>
      </c>
      <c r="G15" s="26">
        <f t="shared" si="5"/>
        <v>16.594999999999999</v>
      </c>
      <c r="H15" s="26">
        <f t="shared" si="5"/>
        <v>21.49</v>
      </c>
      <c r="I15" s="26">
        <f t="shared" si="5"/>
        <v>26.385000000000002</v>
      </c>
      <c r="J15" s="26">
        <f t="shared" si="5"/>
        <v>31.28</v>
      </c>
      <c r="K15" s="26">
        <f t="shared" si="5"/>
        <v>36.174999999999997</v>
      </c>
      <c r="L15" s="26">
        <f t="shared" si="5"/>
        <v>41.07</v>
      </c>
      <c r="M15" s="26">
        <f t="shared" si="5"/>
        <v>45.965000000000003</v>
      </c>
      <c r="N15" s="26">
        <f t="shared" si="5"/>
        <v>50.86</v>
      </c>
      <c r="O15" s="26">
        <f t="shared" si="5"/>
        <v>55.755000000000003</v>
      </c>
      <c r="P15" s="26">
        <f t="shared" si="5"/>
        <v>60.65</v>
      </c>
      <c r="Q15" s="26">
        <f t="shared" si="5"/>
        <v>65.545000000000002</v>
      </c>
      <c r="R15" s="26">
        <f t="shared" si="5"/>
        <v>70.44</v>
      </c>
      <c r="S15" s="26">
        <f t="shared" si="5"/>
        <v>75.334999999999994</v>
      </c>
      <c r="T15" s="26">
        <f t="shared" si="5"/>
        <v>80.23</v>
      </c>
      <c r="U15" s="26">
        <f t="shared" si="5"/>
        <v>85.125</v>
      </c>
      <c r="V15" s="26">
        <f t="shared" si="5"/>
        <v>90.02</v>
      </c>
      <c r="W15" s="26">
        <f t="shared" si="5"/>
        <v>94.915000000000006</v>
      </c>
      <c r="X15" s="26">
        <f t="shared" si="5"/>
        <v>102.31</v>
      </c>
    </row>
    <row r="16" spans="1:25">
      <c r="A16" t="s">
        <v>62</v>
      </c>
      <c r="D16" s="25"/>
      <c r="E16" t="s">
        <v>6</v>
      </c>
      <c r="F16" s="23">
        <f t="shared" ref="F16:X16" si="6">F1+((0.8*2)*(F12/100))</f>
        <v>9.1</v>
      </c>
      <c r="G16" s="23">
        <f t="shared" si="6"/>
        <v>14.06</v>
      </c>
      <c r="H16" s="23">
        <f t="shared" si="6"/>
        <v>19.02</v>
      </c>
      <c r="I16" s="23">
        <f t="shared" si="6"/>
        <v>23.98</v>
      </c>
      <c r="J16" s="23">
        <f t="shared" si="6"/>
        <v>28.94</v>
      </c>
      <c r="K16" s="23">
        <f t="shared" si="6"/>
        <v>33.9</v>
      </c>
      <c r="L16" s="23">
        <f t="shared" si="6"/>
        <v>38.86</v>
      </c>
      <c r="M16" s="23">
        <f t="shared" si="6"/>
        <v>43.82</v>
      </c>
      <c r="N16" s="23">
        <f t="shared" si="6"/>
        <v>48.78</v>
      </c>
      <c r="O16" s="23">
        <f t="shared" si="6"/>
        <v>53.74</v>
      </c>
      <c r="P16" s="23">
        <f t="shared" si="6"/>
        <v>58.7</v>
      </c>
      <c r="Q16" s="23">
        <f t="shared" si="6"/>
        <v>63.66</v>
      </c>
      <c r="R16" s="23">
        <f t="shared" si="6"/>
        <v>68.62</v>
      </c>
      <c r="S16" s="23">
        <f t="shared" si="6"/>
        <v>73.58</v>
      </c>
      <c r="T16" s="23">
        <f t="shared" si="6"/>
        <v>78.540000000000006</v>
      </c>
      <c r="U16" s="23">
        <f t="shared" si="6"/>
        <v>83.5</v>
      </c>
      <c r="V16" s="23">
        <f t="shared" si="6"/>
        <v>88.46</v>
      </c>
      <c r="W16" s="23">
        <f t="shared" si="6"/>
        <v>93.42</v>
      </c>
      <c r="X16" s="23">
        <f t="shared" si="6"/>
        <v>100.88</v>
      </c>
    </row>
    <row r="17" spans="1:25">
      <c r="A17" t="s">
        <v>63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</row>
    <row r="18" spans="1:25">
      <c r="C18" t="s">
        <v>14</v>
      </c>
      <c r="D18" t="s">
        <v>64</v>
      </c>
      <c r="E18" t="s">
        <v>4</v>
      </c>
      <c r="F18" s="23">
        <f t="shared" ref="F18:X18" si="7">(F14/2)*(((2.27999999999999+(0.67*F14))/2)*3.14)*((F3/100))</f>
        <v>3.1411216095135299</v>
      </c>
      <c r="G18" s="23">
        <f t="shared" si="7"/>
        <v>60.775836485250601</v>
      </c>
      <c r="H18" s="23">
        <f t="shared" si="7"/>
        <v>71.725302026354726</v>
      </c>
      <c r="I18" s="23">
        <f t="shared" si="7"/>
        <v>71.744277113484941</v>
      </c>
      <c r="J18" s="23">
        <f t="shared" si="7"/>
        <v>79.437924952014797</v>
      </c>
      <c r="K18" s="23">
        <f t="shared" si="7"/>
        <v>82.867497403947013</v>
      </c>
      <c r="L18" s="23">
        <f t="shared" si="7"/>
        <v>80.827152575522149</v>
      </c>
      <c r="M18" s="23">
        <f t="shared" si="7"/>
        <v>72.111048572980835</v>
      </c>
      <c r="N18" s="23">
        <f t="shared" si="7"/>
        <v>55.513343502563693</v>
      </c>
      <c r="O18" s="23">
        <f t="shared" si="7"/>
        <v>51.733729922581624</v>
      </c>
      <c r="P18" s="23">
        <f t="shared" si="7"/>
        <v>49.372061973622976</v>
      </c>
      <c r="Q18" s="23">
        <f t="shared" si="7"/>
        <v>55.263299621353752</v>
      </c>
      <c r="R18" s="23">
        <f t="shared" si="7"/>
        <v>61.290519069641427</v>
      </c>
      <c r="S18" s="23">
        <f t="shared" si="7"/>
        <v>67.420144757117228</v>
      </c>
      <c r="T18" s="23">
        <f t="shared" si="7"/>
        <v>73.618601122412059</v>
      </c>
      <c r="U18" s="23">
        <f t="shared" si="7"/>
        <v>79.852312604157987</v>
      </c>
      <c r="V18" s="23">
        <f t="shared" si="7"/>
        <v>85.368353385683449</v>
      </c>
      <c r="W18" s="23">
        <f t="shared" si="7"/>
        <v>87.273595064795757</v>
      </c>
      <c r="X18" s="23">
        <f t="shared" si="7"/>
        <v>92.742435953131761</v>
      </c>
      <c r="Y18" s="24">
        <f>SUM(F18:X18)</f>
        <v>1282.07855771613</v>
      </c>
    </row>
    <row r="19" spans="1:25">
      <c r="E19" t="s">
        <v>5</v>
      </c>
      <c r="F19" s="23">
        <f t="shared" ref="F19:X19" si="8">(F15/2)*(((2.27999999999999+(0.67*F15))/2)*3.14)*((F4/100))</f>
        <v>0</v>
      </c>
      <c r="G19" s="23">
        <f t="shared" si="8"/>
        <v>28.863048050496769</v>
      </c>
      <c r="H19" s="23">
        <f t="shared" si="8"/>
        <v>33.769057799091073</v>
      </c>
      <c r="I19" s="23">
        <f t="shared" si="8"/>
        <v>46.368452191762891</v>
      </c>
      <c r="J19" s="23">
        <f t="shared" si="8"/>
        <v>42.371547901187057</v>
      </c>
      <c r="K19" s="23">
        <f t="shared" si="8"/>
        <v>54.000762127680858</v>
      </c>
      <c r="L19" s="23">
        <f t="shared" si="8"/>
        <v>57.950668623896703</v>
      </c>
      <c r="M19" s="23">
        <f t="shared" si="8"/>
        <v>76.343771383795399</v>
      </c>
      <c r="N19" s="23">
        <f t="shared" si="8"/>
        <v>62.844789387095553</v>
      </c>
      <c r="O19" s="23">
        <f t="shared" si="8"/>
        <v>65.322432517358436</v>
      </c>
      <c r="P19" s="23">
        <f t="shared" si="8"/>
        <v>63.960872041665461</v>
      </c>
      <c r="Q19" s="23">
        <f t="shared" si="8"/>
        <v>72.304048429357849</v>
      </c>
      <c r="R19" s="23">
        <f t="shared" si="8"/>
        <v>80.801663148147924</v>
      </c>
      <c r="S19" s="23">
        <f t="shared" si="8"/>
        <v>89.386862466123745</v>
      </c>
      <c r="T19" s="23">
        <f t="shared" si="8"/>
        <v>97.992792651374543</v>
      </c>
      <c r="U19" s="23">
        <f t="shared" si="8"/>
        <v>106.55259997198812</v>
      </c>
      <c r="V19" s="23">
        <f t="shared" si="8"/>
        <v>114.99943069605385</v>
      </c>
      <c r="W19" s="23">
        <f t="shared" si="8"/>
        <v>125.4361668117353</v>
      </c>
      <c r="X19" s="23">
        <f t="shared" si="8"/>
        <v>142.86420262022929</v>
      </c>
      <c r="Y19" s="24">
        <f>SUM(F19:X19)</f>
        <v>1362.1331688190407</v>
      </c>
    </row>
    <row r="20" spans="1:25">
      <c r="E20" t="s">
        <v>6</v>
      </c>
      <c r="F20" s="23">
        <f t="shared" ref="F20:X20" si="9">(F16/2)*(((2.27999999999999+(0.67*F16))/2)*3.14)*((F5/100))</f>
        <v>6.0276970636921332</v>
      </c>
      <c r="G20" s="23">
        <f t="shared" si="9"/>
        <v>30.171716440561909</v>
      </c>
      <c r="H20" s="23">
        <f t="shared" si="9"/>
        <v>23.149281548203763</v>
      </c>
      <c r="I20" s="23">
        <f t="shared" si="9"/>
        <v>33.469003650289707</v>
      </c>
      <c r="J20" s="23">
        <f t="shared" si="9"/>
        <v>28.454065924628228</v>
      </c>
      <c r="K20" s="23">
        <f t="shared" si="9"/>
        <v>38.109193874520692</v>
      </c>
      <c r="L20" s="23">
        <f t="shared" si="9"/>
        <v>40.723345530758607</v>
      </c>
      <c r="M20" s="23">
        <f t="shared" si="9"/>
        <v>58.119218223033371</v>
      </c>
      <c r="N20" s="23">
        <f t="shared" si="9"/>
        <v>44.331071385891285</v>
      </c>
      <c r="O20" s="23">
        <f t="shared" si="9"/>
        <v>47.215506018492952</v>
      </c>
      <c r="P20" s="23">
        <f t="shared" si="9"/>
        <v>47.686919275635638</v>
      </c>
      <c r="Q20" s="23">
        <f t="shared" si="9"/>
        <v>48.64586198778413</v>
      </c>
      <c r="R20" s="23">
        <f t="shared" si="9"/>
        <v>47.978181491306572</v>
      </c>
      <c r="S20" s="23">
        <f t="shared" si="9"/>
        <v>45.434904086666265</v>
      </c>
      <c r="T20" s="23">
        <f t="shared" si="9"/>
        <v>40.76705607432757</v>
      </c>
      <c r="U20" s="23">
        <f t="shared" si="9"/>
        <v>33.725663754753796</v>
      </c>
      <c r="V20" s="23">
        <f t="shared" si="9"/>
        <v>24.061753428408931</v>
      </c>
      <c r="W20" s="23">
        <f t="shared" si="9"/>
        <v>13.822357504627437</v>
      </c>
      <c r="X20" s="23">
        <f t="shared" si="9"/>
        <v>0</v>
      </c>
      <c r="Y20" s="24">
        <f>SUM(F20:X20)</f>
        <v>651.89279726358302</v>
      </c>
    </row>
    <row r="21" spans="1:25"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</row>
    <row r="22" spans="1:25"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</row>
    <row r="23" spans="1:25">
      <c r="C23" t="s">
        <v>15</v>
      </c>
      <c r="D23" t="s">
        <v>16</v>
      </c>
      <c r="E23" t="s">
        <v>4</v>
      </c>
      <c r="F23" s="23">
        <f>(Y18-Y7)/Y7</f>
        <v>0.39934895536106718</v>
      </c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</row>
    <row r="24" spans="1:25">
      <c r="E24" t="s">
        <v>5</v>
      </c>
      <c r="F24" s="23">
        <f>(Y19-Y8)/Y8</f>
        <v>0.11958089789696734</v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</row>
    <row r="25" spans="1:25">
      <c r="E25" t="s">
        <v>6</v>
      </c>
      <c r="F25" s="23">
        <f>(Y20-Y9)/Y9</f>
        <v>6.4336348649919106E-2</v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</row>
    <row r="26" spans="1:25"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</row>
    <row r="27" spans="1:25"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</row>
    <row r="28" spans="1:25">
      <c r="C28" t="s">
        <v>17</v>
      </c>
      <c r="D28" t="s">
        <v>18</v>
      </c>
      <c r="E28" t="s">
        <v>4</v>
      </c>
      <c r="F28" s="23">
        <f>(7.37999999999999/100)*(100+(F23*100))</f>
        <v>10.327195290564664</v>
      </c>
      <c r="G28" s="23">
        <f>F28-7.37999999999999</f>
        <v>2.9471952905646734</v>
      </c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</row>
    <row r="29" spans="1:25">
      <c r="E29" t="s">
        <v>5</v>
      </c>
      <c r="F29" s="23">
        <f>(41.03/100)*(100+(F24*100))</f>
        <v>45.936404240712569</v>
      </c>
      <c r="G29" s="23">
        <f>F29-41.03</f>
        <v>4.9064042407125683</v>
      </c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</row>
    <row r="30" spans="1:25">
      <c r="E30" t="s">
        <v>6</v>
      </c>
      <c r="F30" s="23">
        <f>(16.6/100)*(100+(F25*100))</f>
        <v>17.667983387588659</v>
      </c>
      <c r="G30" s="23">
        <f>F30-16.6</f>
        <v>1.067983387588658</v>
      </c>
    </row>
    <row r="32" spans="1:25">
      <c r="E32" s="27" t="s">
        <v>12</v>
      </c>
      <c r="F32" s="28">
        <f>SUM(F28:F30)</f>
        <v>73.9315829188659</v>
      </c>
      <c r="G32" s="29" t="s">
        <v>65</v>
      </c>
      <c r="H32" s="30"/>
      <c r="I32" s="30"/>
      <c r="J32" s="30"/>
      <c r="K32" s="30"/>
    </row>
    <row r="35" spans="4:25">
      <c r="D35" s="20"/>
      <c r="E35" s="20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2"/>
    </row>
    <row r="36" spans="4:25">
      <c r="D36" s="20"/>
      <c r="E36" s="20"/>
      <c r="F36" s="31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2"/>
    </row>
    <row r="37" spans="4:25">
      <c r="D37" s="20"/>
      <c r="E37" s="20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</row>
  </sheetData>
  <sheetProtection formatCells="0" formatColumns="0" formatRows="0" insertColumns="0" insertRows="0" insertHyperlinks="0" deleteColumns="0" deleteRows="0" selectLockedCells="1" sort="0" autoFilter="0" pivotTables="0" selectUnlockedCells="1"/>
  <pageMargins left="0.7" right="0.7" top="0.75" bottom="0.75" header="0.511811023622047" footer="0.511811023622047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>
      <selection activeCell="C27" sqref="C27"/>
    </sheetView>
  </sheetViews>
  <sheetFormatPr defaultColWidth="9.1796875" defaultRowHeight="12.5"/>
  <cols>
    <col min="1" max="16384" width="9.1796875" style="3"/>
  </cols>
  <sheetData>
    <row r="1" spans="1:4" s="1" customFormat="1" ht="14.5">
      <c r="A1" s="1" t="s">
        <v>3</v>
      </c>
      <c r="B1" s="2" t="s">
        <v>4</v>
      </c>
      <c r="C1" s="2" t="s">
        <v>5</v>
      </c>
      <c r="D1" s="2" t="s">
        <v>6</v>
      </c>
    </row>
    <row r="2" spans="1:4">
      <c r="A2">
        <v>5</v>
      </c>
      <c r="B2">
        <v>1.63</v>
      </c>
      <c r="C2">
        <v>1.17</v>
      </c>
      <c r="D2">
        <v>1.17</v>
      </c>
    </row>
    <row r="3" spans="1:4">
      <c r="A3">
        <v>10</v>
      </c>
      <c r="B3">
        <v>1.91</v>
      </c>
      <c r="C3">
        <v>1.36</v>
      </c>
      <c r="D3">
        <v>1.36</v>
      </c>
    </row>
    <row r="4" spans="1:4">
      <c r="A4">
        <v>15</v>
      </c>
      <c r="B4">
        <v>2.19</v>
      </c>
      <c r="C4">
        <v>1.56</v>
      </c>
      <c r="D4">
        <v>1.56</v>
      </c>
    </row>
    <row r="5" spans="1:4">
      <c r="A5">
        <v>20</v>
      </c>
      <c r="B5">
        <v>2.4700000000000002</v>
      </c>
      <c r="C5">
        <v>1.76</v>
      </c>
      <c r="D5">
        <v>1.76</v>
      </c>
    </row>
    <row r="6" spans="1:4">
      <c r="A6">
        <v>25</v>
      </c>
      <c r="B6">
        <v>2.75</v>
      </c>
      <c r="C6">
        <v>1.96</v>
      </c>
      <c r="D6">
        <v>1.96</v>
      </c>
    </row>
    <row r="7" spans="1:4">
      <c r="A7">
        <v>30</v>
      </c>
      <c r="B7">
        <v>3.03</v>
      </c>
      <c r="C7">
        <v>2.16</v>
      </c>
      <c r="D7">
        <v>2.16</v>
      </c>
    </row>
    <row r="8" spans="1:4">
      <c r="A8">
        <v>35</v>
      </c>
      <c r="B8">
        <v>3.3</v>
      </c>
      <c r="C8">
        <v>2.36</v>
      </c>
      <c r="D8">
        <v>2.36</v>
      </c>
    </row>
    <row r="9" spans="1:4">
      <c r="A9">
        <v>40</v>
      </c>
      <c r="B9">
        <v>3.58</v>
      </c>
      <c r="C9">
        <v>2.56</v>
      </c>
      <c r="D9">
        <v>2.56</v>
      </c>
    </row>
    <row r="10" spans="1:4">
      <c r="A10">
        <v>45</v>
      </c>
      <c r="B10">
        <v>3.86</v>
      </c>
      <c r="C10">
        <v>2.76</v>
      </c>
      <c r="D10">
        <v>2.76</v>
      </c>
    </row>
    <row r="11" spans="1:4">
      <c r="A11">
        <v>50</v>
      </c>
      <c r="B11">
        <v>4.1399999999999997</v>
      </c>
      <c r="C11">
        <v>2.96</v>
      </c>
      <c r="D11">
        <v>2.96</v>
      </c>
    </row>
    <row r="12" spans="1:4">
      <c r="A12">
        <v>55</v>
      </c>
      <c r="B12">
        <v>4.42</v>
      </c>
      <c r="C12">
        <v>3.16</v>
      </c>
      <c r="D12">
        <v>3.16</v>
      </c>
    </row>
    <row r="13" spans="1:4">
      <c r="A13">
        <v>60</v>
      </c>
      <c r="B13">
        <v>4.7</v>
      </c>
      <c r="C13">
        <v>3.35</v>
      </c>
      <c r="D13">
        <v>3.35</v>
      </c>
    </row>
    <row r="14" spans="1:4">
      <c r="A14">
        <v>65</v>
      </c>
      <c r="B14">
        <v>4.9800000000000004</v>
      </c>
      <c r="C14">
        <v>3.55</v>
      </c>
      <c r="D14">
        <v>3.55</v>
      </c>
    </row>
    <row r="15" spans="1:4">
      <c r="A15">
        <v>70</v>
      </c>
      <c r="B15">
        <v>5.25</v>
      </c>
      <c r="C15">
        <v>3.75</v>
      </c>
      <c r="D15">
        <v>3.75</v>
      </c>
    </row>
    <row r="16" spans="1:4">
      <c r="A16">
        <v>75</v>
      </c>
      <c r="B16">
        <v>5.53</v>
      </c>
      <c r="C16">
        <v>3.95</v>
      </c>
      <c r="D16">
        <v>3.95</v>
      </c>
    </row>
    <row r="17" spans="1:4">
      <c r="A17">
        <v>80</v>
      </c>
      <c r="B17">
        <v>5.81</v>
      </c>
      <c r="C17">
        <v>4.1500000000000004</v>
      </c>
      <c r="D17">
        <v>4.1500000000000004</v>
      </c>
    </row>
    <row r="18" spans="1:4">
      <c r="A18">
        <v>85</v>
      </c>
      <c r="B18">
        <v>6.09</v>
      </c>
      <c r="C18">
        <v>4.3499999999999996</v>
      </c>
      <c r="D18">
        <v>4.3499999999999996</v>
      </c>
    </row>
    <row r="19" spans="1:4">
      <c r="A19">
        <v>90</v>
      </c>
      <c r="B19">
        <v>6.37</v>
      </c>
      <c r="C19">
        <v>4.55</v>
      </c>
      <c r="D19">
        <v>4.55</v>
      </c>
    </row>
    <row r="20" spans="1:4">
      <c r="A20">
        <v>95</v>
      </c>
      <c r="B20">
        <v>6.65</v>
      </c>
      <c r="C20">
        <v>4.75</v>
      </c>
      <c r="D20">
        <v>4.75</v>
      </c>
    </row>
    <row r="21" spans="1:4">
      <c r="A21">
        <v>100</v>
      </c>
      <c r="B21">
        <v>6.65</v>
      </c>
      <c r="C21">
        <v>4.75</v>
      </c>
      <c r="D21">
        <v>4.75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ageMargins left="0.78749999999999998" right="0.78749999999999998" top="1.05277777777778" bottom="1.05277777777778" header="0.78749999999999998" footer="0.78749999999999998"/>
  <pageSetup paperSize="9" orientation="portrait"/>
  <headerFooter>
    <oddHeader>&amp;CTimes New Roman,Regular"2&amp;A</oddHeader>
    <oddFooter>&amp;CTimes New Roman,Regular"2Page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47"/>
  <sheetViews>
    <sheetView workbookViewId="0">
      <selection activeCell="M45" sqref="M45"/>
    </sheetView>
  </sheetViews>
  <sheetFormatPr defaultColWidth="9.1796875" defaultRowHeight="14.5"/>
  <cols>
    <col min="1" max="1" width="17.81640625" style="1" customWidth="1"/>
    <col min="2" max="3" width="10.453125" style="1" bestFit="1" customWidth="1"/>
    <col min="4" max="4" width="23.90625" style="1" customWidth="1"/>
    <col min="5" max="1024" width="10.453125" style="1" bestFit="1" customWidth="1"/>
    <col min="1025" max="16384" width="9.1796875" style="3"/>
  </cols>
  <sheetData>
    <row r="1" spans="1:25">
      <c r="A1" s="34" t="s">
        <v>66</v>
      </c>
      <c r="E1" s="19" t="s">
        <v>67</v>
      </c>
      <c r="F1" s="17">
        <v>7.5</v>
      </c>
      <c r="G1" s="17">
        <v>12.5</v>
      </c>
      <c r="H1" s="17">
        <v>17.5</v>
      </c>
      <c r="I1" s="17">
        <v>22.5</v>
      </c>
      <c r="J1" s="17">
        <v>27.5</v>
      </c>
      <c r="K1" s="17">
        <v>32.5</v>
      </c>
      <c r="L1" s="17">
        <v>37.5</v>
      </c>
      <c r="M1" s="17">
        <v>42.5</v>
      </c>
      <c r="N1" s="17">
        <v>47.5</v>
      </c>
      <c r="O1" s="17">
        <v>52.5</v>
      </c>
      <c r="P1" s="17">
        <v>57.5</v>
      </c>
      <c r="Q1" s="17">
        <v>62.5</v>
      </c>
      <c r="R1" s="17">
        <v>67.5</v>
      </c>
      <c r="S1" s="17">
        <v>72.5</v>
      </c>
      <c r="T1" s="17">
        <v>77.5</v>
      </c>
      <c r="U1" s="17">
        <v>82.5</v>
      </c>
      <c r="V1" s="17">
        <v>87.5</v>
      </c>
      <c r="W1" s="17">
        <v>92.5</v>
      </c>
      <c r="X1" s="17">
        <v>100</v>
      </c>
      <c r="Y1" s="2"/>
    </row>
    <row r="2" spans="1:25">
      <c r="E2" s="19" t="s">
        <v>7</v>
      </c>
      <c r="F2" s="19">
        <v>10</v>
      </c>
      <c r="G2" s="19">
        <v>15</v>
      </c>
      <c r="H2" s="19">
        <v>20</v>
      </c>
      <c r="I2" s="19">
        <v>25</v>
      </c>
      <c r="J2" s="19">
        <v>30</v>
      </c>
      <c r="K2" s="19">
        <v>35</v>
      </c>
      <c r="L2" s="19">
        <v>40</v>
      </c>
      <c r="M2" s="19">
        <v>45</v>
      </c>
      <c r="N2" s="19">
        <v>50</v>
      </c>
      <c r="O2" s="19">
        <v>55</v>
      </c>
      <c r="P2" s="19">
        <v>60</v>
      </c>
      <c r="Q2" s="19">
        <v>65</v>
      </c>
      <c r="R2" s="19">
        <v>70</v>
      </c>
      <c r="S2" s="19">
        <v>75</v>
      </c>
      <c r="T2" s="19">
        <v>80</v>
      </c>
      <c r="U2" s="19">
        <v>85</v>
      </c>
      <c r="V2" s="19">
        <v>90</v>
      </c>
      <c r="W2" s="19">
        <v>95</v>
      </c>
      <c r="X2" s="19" t="s">
        <v>8</v>
      </c>
      <c r="Y2" s="2"/>
    </row>
    <row r="3" spans="1:25">
      <c r="A3" s="20" t="s">
        <v>9</v>
      </c>
      <c r="C3" t="s">
        <v>10</v>
      </c>
      <c r="D3" t="s">
        <v>11</v>
      </c>
      <c r="E3" t="s">
        <v>4</v>
      </c>
      <c r="F3" s="17">
        <v>1.50372953428766</v>
      </c>
      <c r="G3" s="17">
        <v>18.9821909046176</v>
      </c>
      <c r="H3" s="17">
        <v>15.7641084072662</v>
      </c>
      <c r="I3" s="17">
        <v>11.6972430758897</v>
      </c>
      <c r="J3" s="17">
        <v>9.9893039920042703</v>
      </c>
      <c r="K3" s="17">
        <v>8.2813649081188405</v>
      </c>
      <c r="L3" s="17">
        <v>6.5734258242334196</v>
      </c>
      <c r="M3" s="17">
        <v>4.8654867403480004</v>
      </c>
      <c r="N3" s="17">
        <v>3.15754765646258</v>
      </c>
      <c r="O3" s="17">
        <v>2.51418690283514</v>
      </c>
      <c r="P3" s="17">
        <v>2.0737914895557901</v>
      </c>
      <c r="Q3" s="17">
        <v>2.0262354925201902</v>
      </c>
      <c r="R3" s="17">
        <v>1.9786794954845901</v>
      </c>
      <c r="S3" s="17">
        <v>1.93112349844899</v>
      </c>
      <c r="T3" s="17">
        <v>1.8835675014133799</v>
      </c>
      <c r="U3" s="17">
        <v>1.83601150437778</v>
      </c>
      <c r="V3" s="17">
        <v>1.77351114396168</v>
      </c>
      <c r="W3" s="17">
        <v>1.6462518755634199</v>
      </c>
      <c r="X3" s="17">
        <v>1.52224005261074</v>
      </c>
      <c r="Y3" s="2"/>
    </row>
    <row r="4" spans="1:25">
      <c r="E4" t="s">
        <v>5</v>
      </c>
      <c r="F4" s="17">
        <v>0</v>
      </c>
      <c r="G4" s="17">
        <v>16.536143646336299</v>
      </c>
      <c r="H4" s="17">
        <v>12.002206366234599</v>
      </c>
      <c r="I4" s="17">
        <v>11.2170824878521</v>
      </c>
      <c r="J4" s="17">
        <v>7.4258582854396602</v>
      </c>
      <c r="K4" s="17">
        <v>7.1712226995330202</v>
      </c>
      <c r="L4" s="17">
        <v>6.0324399594999498</v>
      </c>
      <c r="M4" s="17">
        <v>6.3967073814818196</v>
      </c>
      <c r="N4" s="17">
        <v>4.3295701296159796</v>
      </c>
      <c r="O4" s="17">
        <v>3.76548303976509</v>
      </c>
      <c r="P4" s="17">
        <v>3.1303992984419802</v>
      </c>
      <c r="Q4" s="17">
        <v>3.0419845830293299</v>
      </c>
      <c r="R4" s="17">
        <v>2.9535698676166899</v>
      </c>
      <c r="S4" s="17">
        <v>2.8651551522040402</v>
      </c>
      <c r="T4" s="17">
        <v>2.7767404367914001</v>
      </c>
      <c r="U4" s="17">
        <v>2.6883257213787499</v>
      </c>
      <c r="V4" s="17">
        <v>2.5999110059661099</v>
      </c>
      <c r="W4" s="17">
        <v>2.5557036482597901</v>
      </c>
      <c r="X4" s="17">
        <v>2.5114962905534699</v>
      </c>
      <c r="Y4" s="2"/>
    </row>
    <row r="5" spans="1:25">
      <c r="E5" t="s">
        <v>6</v>
      </c>
      <c r="F5" s="17">
        <v>10.072838089634599</v>
      </c>
      <c r="G5" s="17">
        <v>23.364245155086898</v>
      </c>
      <c r="H5" s="17">
        <v>10.320223841852799</v>
      </c>
      <c r="I5" s="17">
        <v>9.6909946985015001</v>
      </c>
      <c r="J5" s="17">
        <v>5.7799122732969002</v>
      </c>
      <c r="K5" s="17">
        <v>5.7298337090961704</v>
      </c>
      <c r="L5" s="17">
        <v>4.71450417964446</v>
      </c>
      <c r="M5" s="17">
        <v>5.3401012911194004</v>
      </c>
      <c r="N5" s="17">
        <v>3.3112582481541799</v>
      </c>
      <c r="O5" s="17">
        <v>2.9233418461156102</v>
      </c>
      <c r="P5" s="17">
        <v>2.4871628958144898</v>
      </c>
      <c r="Q5" s="17">
        <v>2.1664662557972099</v>
      </c>
      <c r="R5" s="17">
        <v>1.8457696157799399</v>
      </c>
      <c r="S5" s="17">
        <v>1.52507297576266</v>
      </c>
      <c r="T5" s="17">
        <v>1.20437633574539</v>
      </c>
      <c r="U5" s="17">
        <v>0.883679695728115</v>
      </c>
      <c r="V5" s="17">
        <v>0.56298305571083995</v>
      </c>
      <c r="W5" s="17">
        <v>0.29054896395611401</v>
      </c>
      <c r="X5" s="17">
        <v>0</v>
      </c>
      <c r="Y5" s="2"/>
    </row>
    <row r="6" spans="1:25"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D7" t="s">
        <v>13</v>
      </c>
      <c r="E7" t="s">
        <v>4</v>
      </c>
      <c r="F7" s="23">
        <f t="shared" ref="F7:X7" si="0">(F1/2)*(((2.27999999999999+(0.67*F1))/2)*3.14)*((F3/100))</f>
        <v>0.64672681759931283</v>
      </c>
      <c r="G7" s="23">
        <f t="shared" si="0"/>
        <v>19.846295826203718</v>
      </c>
      <c r="H7" s="23">
        <f t="shared" si="0"/>
        <v>30.329149466236942</v>
      </c>
      <c r="I7" s="23">
        <f t="shared" si="0"/>
        <v>35.855873563932342</v>
      </c>
      <c r="J7" s="23">
        <f t="shared" si="0"/>
        <v>44.649110889966529</v>
      </c>
      <c r="K7" s="23">
        <f t="shared" si="0"/>
        <v>50.823000409631753</v>
      </c>
      <c r="L7" s="23">
        <f t="shared" si="0"/>
        <v>53.030106281173758</v>
      </c>
      <c r="M7" s="23">
        <f t="shared" si="0"/>
        <v>49.922992662838233</v>
      </c>
      <c r="N7" s="23">
        <f t="shared" si="0"/>
        <v>40.154223712870831</v>
      </c>
      <c r="O7" s="23">
        <f t="shared" si="0"/>
        <v>38.809345732430053</v>
      </c>
      <c r="P7" s="23">
        <f t="shared" si="0"/>
        <v>38.195831738976374</v>
      </c>
      <c r="Q7" s="23">
        <f t="shared" si="0"/>
        <v>43.895447571999838</v>
      </c>
      <c r="R7" s="23">
        <f t="shared" si="0"/>
        <v>49.80675015330845</v>
      </c>
      <c r="S7" s="23">
        <f t="shared" si="0"/>
        <v>55.892221367940891</v>
      </c>
      <c r="T7" s="23">
        <f t="shared" si="0"/>
        <v>62.114343100935528</v>
      </c>
      <c r="U7" s="23">
        <f t="shared" si="0"/>
        <v>68.435597237331677</v>
      </c>
      <c r="V7" s="23">
        <f t="shared" si="0"/>
        <v>74.193281343163576</v>
      </c>
      <c r="W7" s="23">
        <f t="shared" si="0"/>
        <v>76.809440245184831</v>
      </c>
      <c r="X7" s="23">
        <f t="shared" si="0"/>
        <v>82.786720813224562</v>
      </c>
      <c r="Y7" s="24">
        <f>SUM(F7:X7)</f>
        <v>916.19645893494919</v>
      </c>
    </row>
    <row r="8" spans="1:25">
      <c r="E8" t="s">
        <v>5</v>
      </c>
      <c r="F8" s="23">
        <f t="shared" ref="F8:X8" si="1">(F1/2)*(((2.27999999999999+(0.67*F1))/2)*3.14)*((F4/100))</f>
        <v>0</v>
      </c>
      <c r="G8" s="23">
        <f t="shared" si="1"/>
        <v>17.288899910386849</v>
      </c>
      <c r="H8" s="23">
        <f t="shared" si="1"/>
        <v>23.091487409358486</v>
      </c>
      <c r="I8" s="23">
        <f t="shared" si="1"/>
        <v>34.384024409104882</v>
      </c>
      <c r="J8" s="23">
        <f t="shared" si="1"/>
        <v>33.191298443331064</v>
      </c>
      <c r="K8" s="23">
        <f t="shared" si="1"/>
        <v>44.010022289757671</v>
      </c>
      <c r="L8" s="23">
        <f t="shared" si="1"/>
        <v>48.665785655897025</v>
      </c>
      <c r="M8" s="23">
        <f t="shared" si="1"/>
        <v>65.634291637017043</v>
      </c>
      <c r="N8" s="23">
        <f t="shared" si="1"/>
        <v>55.058718499257431</v>
      </c>
      <c r="O8" s="23">
        <f t="shared" si="1"/>
        <v>58.124530429720181</v>
      </c>
      <c r="P8" s="23">
        <f t="shared" si="1"/>
        <v>57.656811439954005</v>
      </c>
      <c r="Q8" s="23">
        <f t="shared" si="1"/>
        <v>65.900175607483192</v>
      </c>
      <c r="R8" s="23">
        <f t="shared" si="1"/>
        <v>74.346409710329183</v>
      </c>
      <c r="S8" s="23">
        <f t="shared" si="1"/>
        <v>82.925761169134589</v>
      </c>
      <c r="T8" s="23">
        <f t="shared" si="1"/>
        <v>91.568477404543017</v>
      </c>
      <c r="U8" s="23">
        <f t="shared" si="1"/>
        <v>100.20480583719691</v>
      </c>
      <c r="V8" s="23">
        <f t="shared" si="1"/>
        <v>108.76499388774006</v>
      </c>
      <c r="W8" s="23">
        <f t="shared" si="1"/>
        <v>119.24187882138507</v>
      </c>
      <c r="X8" s="23">
        <f t="shared" si="1"/>
        <v>136.58722346249235</v>
      </c>
      <c r="Y8" s="24">
        <f>SUM(F8:X8)</f>
        <v>1216.6455960240892</v>
      </c>
    </row>
    <row r="9" spans="1:25">
      <c r="A9">
        <f>AVERAGE(0.004,0.19,0.171999999999999)</f>
        <v>0.12199999999999966</v>
      </c>
      <c r="E9" t="s">
        <v>6</v>
      </c>
      <c r="F9" s="23">
        <f t="shared" ref="F9:X9" si="2">(F1/2)*(((2.27999999999999+(0.67*F1))/2)*3.14)*((F5/100))</f>
        <v>4.3321450921614613</v>
      </c>
      <c r="G9" s="23">
        <f t="shared" si="2"/>
        <v>24.427829402506099</v>
      </c>
      <c r="H9" s="23">
        <f t="shared" si="2"/>
        <v>19.855459207594755</v>
      </c>
      <c r="I9" s="23">
        <f t="shared" si="2"/>
        <v>29.706066494799153</v>
      </c>
      <c r="J9" s="23">
        <f t="shared" si="2"/>
        <v>25.834426926167922</v>
      </c>
      <c r="K9" s="23">
        <f t="shared" si="2"/>
        <v>35.164172111172661</v>
      </c>
      <c r="L9" s="23">
        <f t="shared" si="2"/>
        <v>38.033540560829159</v>
      </c>
      <c r="M9" s="23">
        <f t="shared" si="2"/>
        <v>54.792840223894821</v>
      </c>
      <c r="N9" s="23">
        <f t="shared" si="2"/>
        <v>42.108946224561095</v>
      </c>
      <c r="O9" s="23">
        <f t="shared" si="2"/>
        <v>45.125119485764969</v>
      </c>
      <c r="P9" s="23">
        <f t="shared" si="2"/>
        <v>45.809453821369708</v>
      </c>
      <c r="Q9" s="23">
        <f t="shared" si="2"/>
        <v>46.933343285568583</v>
      </c>
      <c r="R9" s="23">
        <f t="shared" si="2"/>
        <v>46.461180956042085</v>
      </c>
      <c r="S9" s="23">
        <f t="shared" si="2"/>
        <v>44.139961236064117</v>
      </c>
      <c r="T9" s="23">
        <f t="shared" si="2"/>
        <v>39.716678528909597</v>
      </c>
      <c r="U9" s="23">
        <f t="shared" si="2"/>
        <v>32.938327237852448</v>
      </c>
      <c r="V9" s="23">
        <f t="shared" si="2"/>
        <v>23.551901766167191</v>
      </c>
      <c r="W9" s="23">
        <f t="shared" si="2"/>
        <v>13.556190043913949</v>
      </c>
      <c r="X9" s="23">
        <f t="shared" si="2"/>
        <v>0</v>
      </c>
      <c r="Y9" s="24">
        <f>SUM(F9:X9)</f>
        <v>612.48758260533975</v>
      </c>
    </row>
    <row r="11" spans="1:25"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</row>
    <row r="12" spans="1:25">
      <c r="C12" t="s">
        <v>68</v>
      </c>
      <c r="D12" t="s">
        <v>69</v>
      </c>
      <c r="E12" t="s">
        <v>4</v>
      </c>
      <c r="F12" s="36">
        <f>0.147999999999999</f>
        <v>0.14799999999999899</v>
      </c>
      <c r="G12" s="36">
        <v>0.14799999999999999</v>
      </c>
      <c r="H12" s="36">
        <v>7.5999999999999998E-2</v>
      </c>
      <c r="I12" s="36">
        <v>7.5999999999999998E-2</v>
      </c>
      <c r="J12" s="36">
        <v>7.5999999999999998E-2</v>
      </c>
      <c r="K12" s="36">
        <v>7.5999999999999998E-2</v>
      </c>
      <c r="L12" s="36">
        <v>7.5999999999999998E-2</v>
      </c>
      <c r="M12" s="36">
        <v>7.5999999999999998E-2</v>
      </c>
      <c r="N12" s="36">
        <v>7.5999999999999998E-2</v>
      </c>
      <c r="O12" s="36">
        <v>7.5999999999999998E-2</v>
      </c>
      <c r="P12" s="36">
        <v>7.5999999999999998E-2</v>
      </c>
      <c r="Q12" s="36">
        <v>7.5999999999999998E-2</v>
      </c>
      <c r="R12" s="36">
        <v>7.5999999999999998E-2</v>
      </c>
      <c r="S12" s="36">
        <v>7.5999999999999998E-2</v>
      </c>
      <c r="T12" s="36">
        <v>7.5999999999999998E-2</v>
      </c>
      <c r="U12" s="36">
        <v>7.5999999999999998E-2</v>
      </c>
      <c r="V12" s="36">
        <v>7.5999999999999998E-2</v>
      </c>
      <c r="W12" s="36">
        <v>7.5999999999999998E-2</v>
      </c>
      <c r="X12" s="36">
        <v>7.5999999999999998E-2</v>
      </c>
    </row>
    <row r="13" spans="1:25">
      <c r="D13" s="25" t="s">
        <v>70</v>
      </c>
      <c r="E13" t="s">
        <v>5</v>
      </c>
      <c r="F13" s="36">
        <v>0.04</v>
      </c>
      <c r="G13" s="36">
        <v>0.04</v>
      </c>
      <c r="H13" s="36">
        <v>0.02</v>
      </c>
      <c r="I13" s="36">
        <v>0.02</v>
      </c>
      <c r="J13" s="36">
        <v>0.02</v>
      </c>
      <c r="K13" s="36">
        <v>0.02</v>
      </c>
      <c r="L13" s="36">
        <v>0.02</v>
      </c>
      <c r="M13" s="36">
        <v>0.02</v>
      </c>
      <c r="N13" s="36">
        <v>0.02</v>
      </c>
      <c r="O13" s="36">
        <v>0.02</v>
      </c>
      <c r="P13" s="36">
        <v>0.02</v>
      </c>
      <c r="Q13" s="36">
        <v>0.02</v>
      </c>
      <c r="R13" s="36">
        <v>0.02</v>
      </c>
      <c r="S13" s="36">
        <v>0.02</v>
      </c>
      <c r="T13" s="36">
        <v>0.02</v>
      </c>
      <c r="U13" s="36">
        <v>0.02</v>
      </c>
      <c r="V13" s="36">
        <v>0.02</v>
      </c>
      <c r="W13" s="36">
        <v>0.02</v>
      </c>
      <c r="X13" s="36">
        <v>0.02</v>
      </c>
    </row>
    <row r="14" spans="1:25">
      <c r="E14" t="s">
        <v>6</v>
      </c>
      <c r="F14" s="36">
        <v>0.04</v>
      </c>
      <c r="G14" s="36">
        <v>0.04</v>
      </c>
      <c r="H14" s="36">
        <v>0.02</v>
      </c>
      <c r="I14" s="36">
        <v>0.02</v>
      </c>
      <c r="J14" s="36">
        <v>0.02</v>
      </c>
      <c r="K14" s="36">
        <v>0.02</v>
      </c>
      <c r="L14" s="36">
        <v>0.02</v>
      </c>
      <c r="M14" s="36">
        <v>0.02</v>
      </c>
      <c r="N14" s="36">
        <v>0.02</v>
      </c>
      <c r="O14" s="36">
        <v>0.02</v>
      </c>
      <c r="P14" s="36">
        <v>0.02</v>
      </c>
      <c r="Q14" s="36">
        <v>0.02</v>
      </c>
      <c r="R14" s="36">
        <v>0.02</v>
      </c>
      <c r="S14" s="36">
        <v>0.02</v>
      </c>
      <c r="T14" s="36">
        <v>0.02</v>
      </c>
      <c r="U14" s="36">
        <v>0.02</v>
      </c>
      <c r="V14" s="36">
        <v>0.02</v>
      </c>
      <c r="W14" s="36">
        <v>0.02</v>
      </c>
      <c r="X14" s="36">
        <v>0.02</v>
      </c>
    </row>
    <row r="16" spans="1:25">
      <c r="D16" t="s">
        <v>71</v>
      </c>
      <c r="E16" t="s">
        <v>4</v>
      </c>
      <c r="F16" s="23">
        <f t="shared" ref="F16:X16" si="3">(1-F12)*F3</f>
        <v>1.2811775632130877</v>
      </c>
      <c r="G16" s="23">
        <f t="shared" si="3"/>
        <v>16.172826650734194</v>
      </c>
      <c r="H16" s="23">
        <f t="shared" si="3"/>
        <v>14.566036168313969</v>
      </c>
      <c r="I16" s="23">
        <f t="shared" si="3"/>
        <v>10.808252602122083</v>
      </c>
      <c r="J16" s="23">
        <f t="shared" si="3"/>
        <v>9.2301168886119456</v>
      </c>
      <c r="K16" s="23">
        <f t="shared" si="3"/>
        <v>7.6519811751018088</v>
      </c>
      <c r="L16" s="23">
        <f t="shared" si="3"/>
        <v>6.0738454615916799</v>
      </c>
      <c r="M16" s="23">
        <f t="shared" si="3"/>
        <v>4.4957097480815529</v>
      </c>
      <c r="N16" s="23">
        <f t="shared" si="3"/>
        <v>2.9175740345714241</v>
      </c>
      <c r="O16" s="23">
        <f t="shared" si="3"/>
        <v>2.3231086982196696</v>
      </c>
      <c r="P16" s="23">
        <f t="shared" si="3"/>
        <v>1.9161833363495502</v>
      </c>
      <c r="Q16" s="23">
        <f t="shared" si="3"/>
        <v>1.8722415950886557</v>
      </c>
      <c r="R16" s="23">
        <f t="shared" si="3"/>
        <v>1.8282998538277613</v>
      </c>
      <c r="S16" s="23">
        <f t="shared" si="3"/>
        <v>1.7843581125668668</v>
      </c>
      <c r="T16" s="23">
        <f t="shared" si="3"/>
        <v>1.7404163713059631</v>
      </c>
      <c r="U16" s="23">
        <f t="shared" si="3"/>
        <v>1.6964746300450688</v>
      </c>
      <c r="V16" s="23">
        <f t="shared" si="3"/>
        <v>1.6387242970205924</v>
      </c>
      <c r="W16" s="23">
        <f t="shared" si="3"/>
        <v>1.5211367330206</v>
      </c>
      <c r="X16" s="23">
        <f t="shared" si="3"/>
        <v>1.4065498086123238</v>
      </c>
      <c r="Y16" s="35"/>
    </row>
    <row r="17" spans="3:25">
      <c r="E17" t="s">
        <v>5</v>
      </c>
      <c r="F17" s="23">
        <f t="shared" ref="F17:X17" si="4">(1-F13)*F4</f>
        <v>0</v>
      </c>
      <c r="G17" s="23">
        <f t="shared" si="4"/>
        <v>15.874697900482847</v>
      </c>
      <c r="H17" s="23">
        <f t="shared" si="4"/>
        <v>11.762162238909907</v>
      </c>
      <c r="I17" s="23">
        <f t="shared" si="4"/>
        <v>10.992740838095058</v>
      </c>
      <c r="J17" s="23">
        <f t="shared" si="4"/>
        <v>7.2773411197308668</v>
      </c>
      <c r="K17" s="23">
        <f t="shared" si="4"/>
        <v>7.0277982455423595</v>
      </c>
      <c r="L17" s="23">
        <f t="shared" si="4"/>
        <v>5.9117911603099511</v>
      </c>
      <c r="M17" s="23">
        <f t="shared" si="4"/>
        <v>6.2687732338521833</v>
      </c>
      <c r="N17" s="23">
        <f t="shared" si="4"/>
        <v>4.2429787270236599</v>
      </c>
      <c r="O17" s="23">
        <f t="shared" si="4"/>
        <v>3.6901733789697881</v>
      </c>
      <c r="P17" s="23">
        <f t="shared" si="4"/>
        <v>3.0677913124731404</v>
      </c>
      <c r="Q17" s="23">
        <f t="shared" si="4"/>
        <v>2.9811448913687433</v>
      </c>
      <c r="R17" s="23">
        <f t="shared" si="4"/>
        <v>2.8944984702643559</v>
      </c>
      <c r="S17" s="23">
        <f t="shared" si="4"/>
        <v>2.8078520491599592</v>
      </c>
      <c r="T17" s="23">
        <f t="shared" si="4"/>
        <v>2.7212056280555723</v>
      </c>
      <c r="U17" s="23">
        <f t="shared" si="4"/>
        <v>2.6345592069511747</v>
      </c>
      <c r="V17" s="23">
        <f t="shared" si="4"/>
        <v>2.5479127858467878</v>
      </c>
      <c r="W17" s="23">
        <f t="shared" si="4"/>
        <v>2.5045895752945944</v>
      </c>
      <c r="X17" s="23">
        <f t="shared" si="4"/>
        <v>2.4612663647424005</v>
      </c>
      <c r="Y17" s="35"/>
    </row>
    <row r="18" spans="3:25">
      <c r="E18" t="s">
        <v>6</v>
      </c>
      <c r="F18" s="23">
        <f t="shared" ref="F18:X18" si="5">(1-F14)*F5</f>
        <v>9.6699245660492146</v>
      </c>
      <c r="G18" s="23">
        <f t="shared" si="5"/>
        <v>22.429675348883421</v>
      </c>
      <c r="H18" s="23">
        <f t="shared" si="5"/>
        <v>10.113819365015743</v>
      </c>
      <c r="I18" s="23">
        <f t="shared" si="5"/>
        <v>9.4971748045314701</v>
      </c>
      <c r="J18" s="23">
        <f t="shared" si="5"/>
        <v>5.6643140278309625</v>
      </c>
      <c r="K18" s="23">
        <f t="shared" si="5"/>
        <v>5.6152370349142471</v>
      </c>
      <c r="L18" s="23">
        <f t="shared" si="5"/>
        <v>4.620214096051571</v>
      </c>
      <c r="M18" s="23">
        <f t="shared" si="5"/>
        <v>5.2332992652970125</v>
      </c>
      <c r="N18" s="23">
        <f t="shared" si="5"/>
        <v>3.2450330831910961</v>
      </c>
      <c r="O18" s="23">
        <f t="shared" si="5"/>
        <v>2.8648750091932977</v>
      </c>
      <c r="P18" s="23">
        <f t="shared" si="5"/>
        <v>2.4374196378981998</v>
      </c>
      <c r="Q18" s="23">
        <f t="shared" si="5"/>
        <v>2.1231369306812655</v>
      </c>
      <c r="R18" s="23">
        <f t="shared" si="5"/>
        <v>1.808854223464341</v>
      </c>
      <c r="S18" s="23">
        <f t="shared" si="5"/>
        <v>1.4945715162474067</v>
      </c>
      <c r="T18" s="23">
        <f t="shared" si="5"/>
        <v>1.1802888090304822</v>
      </c>
      <c r="U18" s="23">
        <f t="shared" si="5"/>
        <v>0.86600610181355264</v>
      </c>
      <c r="V18" s="23">
        <f t="shared" si="5"/>
        <v>0.55172339459662312</v>
      </c>
      <c r="W18" s="23">
        <f t="shared" si="5"/>
        <v>0.28473798467699174</v>
      </c>
      <c r="X18" s="23">
        <f t="shared" si="5"/>
        <v>0</v>
      </c>
      <c r="Y18" s="35"/>
    </row>
    <row r="19" spans="3:25">
      <c r="Y19" s="22" t="s">
        <v>12</v>
      </c>
    </row>
    <row r="20" spans="3:25">
      <c r="D20" t="s">
        <v>72</v>
      </c>
      <c r="E20" t="s">
        <v>4</v>
      </c>
      <c r="F20" s="23">
        <f t="shared" ref="F20:X20" si="6">(F1/2)*(((2.27999999999999+(0.67*F1))/2)*3.14)*((F16/100))</f>
        <v>0.55101124859461514</v>
      </c>
      <c r="G20" s="23">
        <f t="shared" si="6"/>
        <v>16.909044043925572</v>
      </c>
      <c r="H20" s="23">
        <f t="shared" si="6"/>
        <v>28.024134106802936</v>
      </c>
      <c r="I20" s="23">
        <f t="shared" si="6"/>
        <v>33.130827173073484</v>
      </c>
      <c r="J20" s="23">
        <f t="shared" si="6"/>
        <v>41.255778462329076</v>
      </c>
      <c r="K20" s="23">
        <f t="shared" si="6"/>
        <v>46.960452378499738</v>
      </c>
      <c r="L20" s="23">
        <f t="shared" si="6"/>
        <v>48.999818203804558</v>
      </c>
      <c r="M20" s="23">
        <f t="shared" si="6"/>
        <v>46.12884522046253</v>
      </c>
      <c r="N20" s="23">
        <f t="shared" si="6"/>
        <v>37.102502710692647</v>
      </c>
      <c r="O20" s="23">
        <f t="shared" si="6"/>
        <v>35.859835456765374</v>
      </c>
      <c r="P20" s="23">
        <f t="shared" si="6"/>
        <v>35.292948526814165</v>
      </c>
      <c r="Q20" s="23">
        <f t="shared" si="6"/>
        <v>40.559393556527844</v>
      </c>
      <c r="R20" s="23">
        <f t="shared" si="6"/>
        <v>46.021437141657003</v>
      </c>
      <c r="S20" s="23">
        <f t="shared" si="6"/>
        <v>51.644412543977388</v>
      </c>
      <c r="T20" s="23">
        <f t="shared" si="6"/>
        <v>57.393653025264427</v>
      </c>
      <c r="U20" s="23">
        <f t="shared" si="6"/>
        <v>63.234491847294471</v>
      </c>
      <c r="V20" s="23">
        <f t="shared" si="6"/>
        <v>68.554591961083162</v>
      </c>
      <c r="W20" s="23">
        <f t="shared" si="6"/>
        <v>70.971922786550778</v>
      </c>
      <c r="X20" s="23">
        <f t="shared" si="6"/>
        <v>76.4949300314195</v>
      </c>
      <c r="Y20" s="24">
        <f>SUM(F20:X20)</f>
        <v>845.09003042553923</v>
      </c>
    </row>
    <row r="21" spans="3:25">
      <c r="E21" t="s">
        <v>5</v>
      </c>
      <c r="F21" s="23">
        <f t="shared" ref="F21:X21" si="7">(F1/2)*(((2.27999999999999+(0.67*F1))/2)*3.14)*((F17/100))</f>
        <v>0</v>
      </c>
      <c r="G21" s="23">
        <f t="shared" si="7"/>
        <v>16.597343913971375</v>
      </c>
      <c r="H21" s="23">
        <f t="shared" si="7"/>
        <v>22.629657661171315</v>
      </c>
      <c r="I21" s="23">
        <f t="shared" si="7"/>
        <v>33.696343920922786</v>
      </c>
      <c r="J21" s="23">
        <f t="shared" si="7"/>
        <v>32.527472474464439</v>
      </c>
      <c r="K21" s="23">
        <f t="shared" si="7"/>
        <v>43.129821843962517</v>
      </c>
      <c r="L21" s="23">
        <f t="shared" si="7"/>
        <v>47.692469942779091</v>
      </c>
      <c r="M21" s="23">
        <f t="shared" si="7"/>
        <v>64.3216058042767</v>
      </c>
      <c r="N21" s="23">
        <f t="shared" si="7"/>
        <v>53.957544129272279</v>
      </c>
      <c r="O21" s="23">
        <f t="shared" si="7"/>
        <v>56.962039821125778</v>
      </c>
      <c r="P21" s="23">
        <f t="shared" si="7"/>
        <v>56.503675211154928</v>
      </c>
      <c r="Q21" s="23">
        <f t="shared" si="7"/>
        <v>64.582172095333533</v>
      </c>
      <c r="R21" s="23">
        <f t="shared" si="7"/>
        <v>72.859481516122599</v>
      </c>
      <c r="S21" s="23">
        <f t="shared" si="7"/>
        <v>81.267245945751895</v>
      </c>
      <c r="T21" s="23">
        <f t="shared" si="7"/>
        <v>89.737107856452155</v>
      </c>
      <c r="U21" s="23">
        <f t="shared" si="7"/>
        <v>98.200709720452977</v>
      </c>
      <c r="V21" s="23">
        <f t="shared" si="7"/>
        <v>106.58969400998527</v>
      </c>
      <c r="W21" s="23">
        <f t="shared" si="7"/>
        <v>116.85704124495737</v>
      </c>
      <c r="X21" s="23">
        <f t="shared" si="7"/>
        <v>133.85547899324249</v>
      </c>
      <c r="Y21" s="24">
        <f>SUM(F21:X21)</f>
        <v>1191.9669061053994</v>
      </c>
    </row>
    <row r="22" spans="3:25">
      <c r="E22" t="s">
        <v>6</v>
      </c>
      <c r="F22" s="23">
        <f t="shared" ref="F22:X22" si="8">(F1/2)*(((2.27999999999999+(0.67*F1))/2)*3.14)*((F18/100))</f>
        <v>4.1588592884750026</v>
      </c>
      <c r="G22" s="23">
        <f t="shared" si="8"/>
        <v>23.450716226405852</v>
      </c>
      <c r="H22" s="23">
        <f t="shared" si="8"/>
        <v>19.458350023442861</v>
      </c>
      <c r="I22" s="23">
        <f t="shared" si="8"/>
        <v>29.111945164903172</v>
      </c>
      <c r="J22" s="23">
        <f t="shared" si="8"/>
        <v>25.317738387644567</v>
      </c>
      <c r="K22" s="23">
        <f t="shared" si="8"/>
        <v>34.46088866894921</v>
      </c>
      <c r="L22" s="23">
        <f t="shared" si="8"/>
        <v>37.272869749612582</v>
      </c>
      <c r="M22" s="23">
        <f t="shared" si="8"/>
        <v>53.696983419416924</v>
      </c>
      <c r="N22" s="23">
        <f t="shared" si="8"/>
        <v>41.266767300069873</v>
      </c>
      <c r="O22" s="23">
        <f t="shared" si="8"/>
        <v>44.22261709604966</v>
      </c>
      <c r="P22" s="23">
        <f t="shared" si="8"/>
        <v>44.893264744942314</v>
      </c>
      <c r="Q22" s="23">
        <f t="shared" si="8"/>
        <v>45.994676419857207</v>
      </c>
      <c r="R22" s="23">
        <f t="shared" si="8"/>
        <v>45.531957336921245</v>
      </c>
      <c r="S22" s="23">
        <f t="shared" si="8"/>
        <v>43.257162011342835</v>
      </c>
      <c r="T22" s="23">
        <f t="shared" si="8"/>
        <v>38.922344958331408</v>
      </c>
      <c r="U22" s="23">
        <f t="shared" si="8"/>
        <v>32.279560693095398</v>
      </c>
      <c r="V22" s="23">
        <f t="shared" si="8"/>
        <v>23.080863730843845</v>
      </c>
      <c r="W22" s="23">
        <f t="shared" si="8"/>
        <v>13.28506624303567</v>
      </c>
      <c r="X22" s="23">
        <f t="shared" si="8"/>
        <v>0</v>
      </c>
      <c r="Y22" s="24">
        <f>SUM(F22:X22)</f>
        <v>599.66263146333961</v>
      </c>
    </row>
    <row r="23" spans="3:25"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</row>
    <row r="24" spans="3:25">
      <c r="D24" t="s">
        <v>73</v>
      </c>
      <c r="E24" t="s">
        <v>4</v>
      </c>
      <c r="F24" s="23">
        <v>1.91072</v>
      </c>
      <c r="G24" s="23">
        <v>2.1893199999999999</v>
      </c>
      <c r="H24" s="23">
        <v>2.4679199999999999</v>
      </c>
      <c r="I24" s="23">
        <v>2.7465199999999999</v>
      </c>
      <c r="J24" s="23">
        <v>3.0251199999999998</v>
      </c>
      <c r="K24" s="23">
        <v>3.3037200000000002</v>
      </c>
      <c r="L24" s="23">
        <v>3.5823200000000002</v>
      </c>
      <c r="M24" s="23">
        <v>3.8609200000000001</v>
      </c>
      <c r="N24" s="23">
        <v>4.1395200000000001</v>
      </c>
      <c r="O24" s="23">
        <v>4.41812</v>
      </c>
      <c r="P24" s="23">
        <v>4.69672</v>
      </c>
      <c r="Q24" s="23">
        <v>4.97532</v>
      </c>
      <c r="R24" s="23">
        <v>5.2539199999999999</v>
      </c>
      <c r="S24" s="23">
        <v>5.5325199999999999</v>
      </c>
      <c r="T24" s="23">
        <v>5.8111199999999998</v>
      </c>
      <c r="U24" s="23">
        <v>6.0897199999999998</v>
      </c>
      <c r="V24" s="23">
        <v>6.3683199999999998</v>
      </c>
      <c r="W24" s="23">
        <v>6.6469199999999997</v>
      </c>
      <c r="X24" s="23">
        <v>6.6469199999999997</v>
      </c>
    </row>
    <row r="25" spans="3:25">
      <c r="D25" t="s">
        <v>74</v>
      </c>
      <c r="E25" t="s">
        <v>5</v>
      </c>
      <c r="F25" s="23">
        <v>1.3648</v>
      </c>
      <c r="G25" s="23">
        <v>1.5638000000000001</v>
      </c>
      <c r="H25" s="23">
        <v>1.7627999999999999</v>
      </c>
      <c r="I25" s="23">
        <v>1.9618</v>
      </c>
      <c r="J25" s="23">
        <v>2.1608000000000001</v>
      </c>
      <c r="K25" s="23">
        <v>2.3597999999999999</v>
      </c>
      <c r="L25" s="23">
        <v>2.5588000000000002</v>
      </c>
      <c r="M25" s="23">
        <v>2.7578</v>
      </c>
      <c r="N25" s="23">
        <v>2.9567999999999999</v>
      </c>
      <c r="O25" s="23">
        <v>3.1558000000000002</v>
      </c>
      <c r="P25" s="23">
        <v>3.3548</v>
      </c>
      <c r="Q25" s="23">
        <v>3.5537999999999998</v>
      </c>
      <c r="R25" s="23">
        <v>3.7528000000000001</v>
      </c>
      <c r="S25" s="23">
        <v>3.9518</v>
      </c>
      <c r="T25" s="23">
        <v>4.1508000000000003</v>
      </c>
      <c r="U25" s="23">
        <v>4.3498000000000001</v>
      </c>
      <c r="V25" s="23">
        <v>4.5488</v>
      </c>
      <c r="W25" s="23">
        <v>4.7477999999999998</v>
      </c>
      <c r="X25" s="23">
        <v>4.7477999999999998</v>
      </c>
    </row>
    <row r="26" spans="3:25">
      <c r="E26" t="s">
        <v>6</v>
      </c>
      <c r="F26" s="23">
        <v>1.3648</v>
      </c>
      <c r="G26" s="23">
        <v>1.5638000000000001</v>
      </c>
      <c r="H26" s="23">
        <v>1.7627999999999999</v>
      </c>
      <c r="I26" s="23">
        <v>1.9618</v>
      </c>
      <c r="J26" s="23">
        <v>2.1608000000000001</v>
      </c>
      <c r="K26" s="23">
        <v>2.3597999999999999</v>
      </c>
      <c r="L26" s="23">
        <v>2.5588000000000002</v>
      </c>
      <c r="M26" s="23">
        <v>2.7578</v>
      </c>
      <c r="N26" s="23">
        <v>2.9567999999999999</v>
      </c>
      <c r="O26" s="23">
        <v>3.1558000000000002</v>
      </c>
      <c r="P26" s="23">
        <v>3.3548</v>
      </c>
      <c r="Q26" s="23">
        <v>3.5537999999999998</v>
      </c>
      <c r="R26" s="23">
        <v>3.7528000000000001</v>
      </c>
      <c r="S26" s="23">
        <v>3.9518</v>
      </c>
      <c r="T26" s="23">
        <v>4.1508000000000003</v>
      </c>
      <c r="U26" s="23">
        <v>4.3498000000000001</v>
      </c>
      <c r="V26" s="23">
        <v>4.5488</v>
      </c>
      <c r="W26" s="23">
        <v>4.7477999999999998</v>
      </c>
      <c r="X26" s="23">
        <v>4.7477999999999998</v>
      </c>
    </row>
    <row r="27" spans="3:25"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2" t="s">
        <v>12</v>
      </c>
    </row>
    <row r="28" spans="3:25">
      <c r="C28" t="s">
        <v>14</v>
      </c>
      <c r="D28" t="s">
        <v>75</v>
      </c>
      <c r="E28" t="s">
        <v>4</v>
      </c>
      <c r="F28" s="23">
        <f t="shared" ref="F28:X28" si="9">((100-F24)/100)*F20</f>
        <v>0.54048296646546812</v>
      </c>
      <c r="G28" s="23">
        <f t="shared" si="9"/>
        <v>16.538850960863101</v>
      </c>
      <c r="H28" s="23">
        <f t="shared" si="9"/>
        <v>27.332520896354325</v>
      </c>
      <c r="I28" s="23">
        <f t="shared" si="9"/>
        <v>32.220882378599583</v>
      </c>
      <c r="J28" s="23">
        <f t="shared" si="9"/>
        <v>40.007741656909467</v>
      </c>
      <c r="K28" s="23">
        <f t="shared" si="9"/>
        <v>45.409010521180768</v>
      </c>
      <c r="L28" s="23">
        <f t="shared" si="9"/>
        <v>47.24448791632603</v>
      </c>
      <c r="M28" s="23">
        <f t="shared" si="9"/>
        <v>44.347847409576652</v>
      </c>
      <c r="N28" s="23">
        <f t="shared" si="9"/>
        <v>35.566637190482979</v>
      </c>
      <c r="O28" s="23">
        <f t="shared" si="9"/>
        <v>34.275504894482928</v>
      </c>
      <c r="P28" s="23">
        <f t="shared" si="9"/>
        <v>33.635337554765577</v>
      </c>
      <c r="Q28" s="23">
        <f t="shared" si="9"/>
        <v>38.541433937031208</v>
      </c>
      <c r="R28" s="23">
        <f t="shared" si="9"/>
        <v>43.603507651384064</v>
      </c>
      <c r="S28" s="23">
        <f t="shared" si="9"/>
        <v>48.787175091099328</v>
      </c>
      <c r="T28" s="23">
        <f t="shared" si="9"/>
        <v>54.058438975582682</v>
      </c>
      <c r="U28" s="23">
        <f t="shared" si="9"/>
        <v>59.383688350371415</v>
      </c>
      <c r="V28" s="23">
        <f t="shared" si="9"/>
        <v>64.188816170307121</v>
      </c>
      <c r="W28" s="23">
        <f t="shared" si="9"/>
        <v>66.254475856466982</v>
      </c>
      <c r="X28" s="23">
        <f t="shared" si="9"/>
        <v>71.410373228175075</v>
      </c>
      <c r="Y28" s="24">
        <f>SUM(F28:X28)</f>
        <v>803.3472136064247</v>
      </c>
    </row>
    <row r="29" spans="3:25">
      <c r="E29" t="s">
        <v>5</v>
      </c>
      <c r="F29" s="23">
        <f t="shared" ref="F29:X29" si="10">((100-F25)/100)*F21</f>
        <v>0</v>
      </c>
      <c r="G29" s="23">
        <f t="shared" si="10"/>
        <v>16.337794649844689</v>
      </c>
      <c r="H29" s="23">
        <f t="shared" si="10"/>
        <v>22.230742055920189</v>
      </c>
      <c r="I29" s="23">
        <f t="shared" si="10"/>
        <v>33.035289045882124</v>
      </c>
      <c r="J29" s="23">
        <f t="shared" si="10"/>
        <v>31.824618849236213</v>
      </c>
      <c r="K29" s="23">
        <f t="shared" si="10"/>
        <v>42.112044308088684</v>
      </c>
      <c r="L29" s="23">
        <f t="shared" si="10"/>
        <v>46.472115021883255</v>
      </c>
      <c r="M29" s="23">
        <f t="shared" si="10"/>
        <v>62.547744559406361</v>
      </c>
      <c r="N29" s="23">
        <f t="shared" si="10"/>
        <v>52.362127464457956</v>
      </c>
      <c r="O29" s="23">
        <f t="shared" si="10"/>
        <v>55.16443176845069</v>
      </c>
      <c r="P29" s="23">
        <f t="shared" si="10"/>
        <v>54.608089915171099</v>
      </c>
      <c r="Q29" s="23">
        <f t="shared" si="10"/>
        <v>62.287050863409576</v>
      </c>
      <c r="R29" s="23">
        <f t="shared" si="10"/>
        <v>70.125210893785564</v>
      </c>
      <c r="S29" s="23">
        <f t="shared" si="10"/>
        <v>78.055726920467663</v>
      </c>
      <c r="T29" s="23">
        <f t="shared" si="10"/>
        <v>86.012299983546541</v>
      </c>
      <c r="U29" s="23">
        <f t="shared" si="10"/>
        <v>93.92917524903271</v>
      </c>
      <c r="V29" s="23">
        <f t="shared" si="10"/>
        <v>101.74114200885906</v>
      </c>
      <c r="W29" s="23">
        <f t="shared" si="10"/>
        <v>111.30890264072929</v>
      </c>
      <c r="X29" s="23">
        <f t="shared" si="10"/>
        <v>127.50028856160131</v>
      </c>
      <c r="Y29" s="24">
        <f>SUM(F29:X29)</f>
        <v>1147.654794759773</v>
      </c>
    </row>
    <row r="30" spans="3:25">
      <c r="E30" t="s">
        <v>6</v>
      </c>
      <c r="F30" s="23">
        <f t="shared" ref="F30:X30" si="11">((100-F26)/100)*F22</f>
        <v>4.1020991769058961</v>
      </c>
      <c r="G30" s="23">
        <f t="shared" si="11"/>
        <v>23.083993926057317</v>
      </c>
      <c r="H30" s="23">
        <f t="shared" si="11"/>
        <v>19.115338229229611</v>
      </c>
      <c r="I30" s="23">
        <f t="shared" si="11"/>
        <v>28.540827024658103</v>
      </c>
      <c r="J30" s="23">
        <f t="shared" si="11"/>
        <v>24.770672696564343</v>
      </c>
      <c r="K30" s="23">
        <f t="shared" si="11"/>
        <v>33.64768061813934</v>
      </c>
      <c r="L30" s="23">
        <f t="shared" si="11"/>
        <v>36.319131558459496</v>
      </c>
      <c r="M30" s="23">
        <f t="shared" si="11"/>
        <v>52.216128010676243</v>
      </c>
      <c r="N30" s="23">
        <f t="shared" si="11"/>
        <v>40.046591524541405</v>
      </c>
      <c r="O30" s="23">
        <f t="shared" si="11"/>
        <v>42.827039745732527</v>
      </c>
      <c r="P30" s="23">
        <f t="shared" si="11"/>
        <v>43.387185499278992</v>
      </c>
      <c r="Q30" s="23">
        <f t="shared" si="11"/>
        <v>44.36011760924832</v>
      </c>
      <c r="R30" s="23">
        <f t="shared" si="11"/>
        <v>43.823234041981266</v>
      </c>
      <c r="S30" s="23">
        <f t="shared" si="11"/>
        <v>41.547725482978585</v>
      </c>
      <c r="T30" s="23">
        <f t="shared" si="11"/>
        <v>37.306756263800985</v>
      </c>
      <c r="U30" s="23">
        <f t="shared" si="11"/>
        <v>30.875464362067135</v>
      </c>
      <c r="V30" s="23">
        <f t="shared" si="11"/>
        <v>22.030961401455222</v>
      </c>
      <c r="W30" s="23">
        <f t="shared" si="11"/>
        <v>12.654317867948823</v>
      </c>
      <c r="X30" s="23">
        <f t="shared" si="11"/>
        <v>0</v>
      </c>
      <c r="Y30" s="24">
        <f>SUM(F30:X30)</f>
        <v>580.65526503972353</v>
      </c>
    </row>
    <row r="33" spans="3:24">
      <c r="C33" t="s">
        <v>15</v>
      </c>
      <c r="D33" t="s">
        <v>16</v>
      </c>
      <c r="E33" t="s">
        <v>4</v>
      </c>
      <c r="F33">
        <f>(Y28-Y7)/Y20</f>
        <v>-0.13353517526611933</v>
      </c>
    </row>
    <row r="34" spans="3:24">
      <c r="E34" t="s">
        <v>5</v>
      </c>
      <c r="F34">
        <f>(Y29-Y8)/Y21</f>
        <v>-5.7879795916259809E-2</v>
      </c>
    </row>
    <row r="35" spans="3:24">
      <c r="E35" t="s">
        <v>6</v>
      </c>
      <c r="F35">
        <f>(Y30-Y9)/Y22</f>
        <v>-5.308371056561708E-2</v>
      </c>
    </row>
    <row r="38" spans="3:24">
      <c r="C38" t="s">
        <v>17</v>
      </c>
      <c r="D38" t="s">
        <v>18</v>
      </c>
      <c r="E38" t="s">
        <v>4</v>
      </c>
      <c r="F38" s="23">
        <f>(7.37999999999999/100)*(100+(F33*100))</f>
        <v>6.394510406536031</v>
      </c>
      <c r="G38" s="35">
        <f>7.37999999999999-F38</f>
        <v>0.98548959346395915</v>
      </c>
    </row>
    <row r="39" spans="3:24">
      <c r="E39" t="s">
        <v>5</v>
      </c>
      <c r="F39" s="23">
        <f>(41.03/100)*(100+(F34*100))</f>
        <v>38.655191973555858</v>
      </c>
      <c r="G39" s="35">
        <f>41.03-F39</f>
        <v>2.3748080264441427</v>
      </c>
    </row>
    <row r="40" spans="3:24">
      <c r="E40" t="s">
        <v>6</v>
      </c>
      <c r="F40" s="23">
        <f>(16.6/100)*(100+(F35*100))</f>
        <v>15.718810404610757</v>
      </c>
      <c r="G40" s="35">
        <f>16.6-F40</f>
        <v>0.88118959538924457</v>
      </c>
    </row>
    <row r="42" spans="3:24">
      <c r="E42" s="27" t="s">
        <v>12</v>
      </c>
      <c r="F42" s="28">
        <f>SUM(F38:F40)</f>
        <v>60.768512784702644</v>
      </c>
      <c r="G42" s="29" t="s">
        <v>76</v>
      </c>
      <c r="H42" s="30"/>
      <c r="I42" s="30"/>
      <c r="J42" s="30"/>
      <c r="K42" s="30"/>
    </row>
    <row r="45" spans="3:24">
      <c r="D45" s="20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</row>
    <row r="46" spans="3:24"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</row>
    <row r="47" spans="3:24"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</row>
  </sheetData>
  <sheetProtection formatCells="0" formatColumns="0" formatRows="0" insertColumns="0" insertRows="0" insertHyperlinks="0" deleteColumns="0" deleteRows="0" selectLockedCells="1" sort="0" autoFilter="0" pivotTables="0" selectUnlockedCells="1"/>
  <pageMargins left="0.7" right="0.7" top="0.75" bottom="0.75" header="0.511811023622047" footer="0.511811023622047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57"/>
  <sheetViews>
    <sheetView workbookViewId="0">
      <selection activeCell="C6" sqref="C6"/>
    </sheetView>
  </sheetViews>
  <sheetFormatPr defaultColWidth="9.1796875" defaultRowHeight="14.5"/>
  <cols>
    <col min="1" max="1" width="45.6328125" style="1" customWidth="1"/>
    <col min="2" max="2" width="19.81640625" style="2" customWidth="1"/>
    <col min="3" max="3" width="14.7265625" style="2" customWidth="1"/>
    <col min="4" max="6" width="10" style="2" customWidth="1"/>
    <col min="7" max="7" width="10.453125" style="1" bestFit="1" customWidth="1"/>
    <col min="8" max="8" width="58" style="1" customWidth="1"/>
    <col min="9" max="9" width="25.6328125" style="2" customWidth="1"/>
    <col min="10" max="10" width="19.7265625" style="2" customWidth="1"/>
    <col min="11" max="1024" width="10.453125" style="1" bestFit="1" customWidth="1"/>
    <col min="1025" max="16384" width="9.1796875" style="3"/>
  </cols>
  <sheetData>
    <row r="1" spans="1:11">
      <c r="A1" s="34" t="s">
        <v>77</v>
      </c>
      <c r="H1" s="34" t="s">
        <v>78</v>
      </c>
    </row>
    <row r="3" spans="1:11">
      <c r="B3" s="37" t="s">
        <v>19</v>
      </c>
      <c r="C3" s="37" t="s">
        <v>79</v>
      </c>
      <c r="D3" s="37" t="s">
        <v>80</v>
      </c>
      <c r="E3" s="37" t="s">
        <v>81</v>
      </c>
      <c r="F3" s="37" t="s">
        <v>82</v>
      </c>
      <c r="I3" s="48" t="s">
        <v>19</v>
      </c>
      <c r="J3" s="48"/>
    </row>
    <row r="4" spans="1:11">
      <c r="A4" t="s">
        <v>83</v>
      </c>
      <c r="B4">
        <v>4.6100000000000003</v>
      </c>
      <c r="C4">
        <v>5.83</v>
      </c>
      <c r="H4" s="34"/>
      <c r="I4" s="37" t="s">
        <v>84</v>
      </c>
      <c r="J4" s="37" t="s">
        <v>6</v>
      </c>
      <c r="K4" s="2"/>
    </row>
    <row r="5" spans="1:11">
      <c r="A5" t="s">
        <v>20</v>
      </c>
      <c r="B5">
        <v>381289</v>
      </c>
      <c r="C5">
        <v>381289</v>
      </c>
      <c r="H5" t="s">
        <v>85</v>
      </c>
      <c r="I5">
        <v>43.8</v>
      </c>
      <c r="J5">
        <v>16.600000000000001</v>
      </c>
      <c r="K5" s="2"/>
    </row>
    <row r="6" spans="1:11">
      <c r="A6" t="s">
        <v>86</v>
      </c>
      <c r="B6">
        <f>(B5/100)*B4</f>
        <v>17577.422900000001</v>
      </c>
      <c r="C6">
        <f>(C5/100)*C4</f>
        <v>22229.148699999998</v>
      </c>
      <c r="H6" t="s">
        <v>20</v>
      </c>
      <c r="I6">
        <v>381289</v>
      </c>
      <c r="J6">
        <v>381289</v>
      </c>
      <c r="K6" s="2"/>
    </row>
    <row r="7" spans="1:11">
      <c r="A7" t="s">
        <v>87</v>
      </c>
      <c r="B7">
        <f>B6/B5</f>
        <v>4.6100000000000002E-2</v>
      </c>
      <c r="C7">
        <f>C6/C5</f>
        <v>5.8299999999999998E-2</v>
      </c>
      <c r="H7" t="s">
        <v>88</v>
      </c>
      <c r="I7" s="16">
        <f>(I6/100)*I5</f>
        <v>167004.58199999999</v>
      </c>
      <c r="J7" s="16">
        <f>(J6/100)*J5</f>
        <v>63293.974000000002</v>
      </c>
      <c r="K7" s="2"/>
    </row>
    <row r="8" spans="1:11">
      <c r="A8" t="s">
        <v>89</v>
      </c>
      <c r="B8" s="16">
        <f>B7*100*100</f>
        <v>461.00000000000006</v>
      </c>
      <c r="C8" s="16">
        <f>C7*100*100</f>
        <v>583</v>
      </c>
      <c r="K8" s="2"/>
    </row>
    <row r="9" spans="1:11">
      <c r="A9" t="s">
        <v>90</v>
      </c>
      <c r="B9" s="16">
        <f>B8/0.00749999999999999</f>
        <v>61466.666666666752</v>
      </c>
      <c r="C9" s="16">
        <f>C8/0.00749999999999999</f>
        <v>77733.33333333343</v>
      </c>
      <c r="H9" t="s">
        <v>91</v>
      </c>
      <c r="I9" s="38">
        <f>375*I7*10000</f>
        <v>626267182500</v>
      </c>
      <c r="J9" s="38">
        <f>600*J7*10000</f>
        <v>379763844000</v>
      </c>
      <c r="K9" s="2"/>
    </row>
    <row r="10" spans="1:11">
      <c r="A10" t="s">
        <v>92</v>
      </c>
      <c r="B10" s="16">
        <f>B9/B8</f>
        <v>133.33333333333351</v>
      </c>
      <c r="C10" s="16">
        <f>C9/C8</f>
        <v>133.33333333333351</v>
      </c>
      <c r="H10" t="s">
        <v>93</v>
      </c>
      <c r="I10" s="38">
        <f>I9*0.729999999999999</f>
        <v>457175043224.99939</v>
      </c>
      <c r="J10" s="38">
        <f>J9*0.609999999999999</f>
        <v>231655944839.9996</v>
      </c>
      <c r="K10" s="2"/>
    </row>
    <row r="11" spans="1:11">
      <c r="A11" t="s">
        <v>94</v>
      </c>
      <c r="B11" s="16">
        <f>((B10/25)*0.05)*B8</f>
        <v>122.93333333333349</v>
      </c>
      <c r="C11" s="16">
        <f>((C10/25)*0.05)*C8</f>
        <v>155.46666666666687</v>
      </c>
      <c r="H11" t="s">
        <v>95</v>
      </c>
      <c r="I11" s="38">
        <f>I10*0.55</f>
        <v>251446273773.74969</v>
      </c>
      <c r="J11" s="38">
        <f>J10*0.55</f>
        <v>127410769661.99979</v>
      </c>
      <c r="K11" s="2"/>
    </row>
    <row r="12" spans="1:11">
      <c r="A12" t="s">
        <v>96</v>
      </c>
      <c r="B12" s="16">
        <v>13.87</v>
      </c>
      <c r="C12" s="16">
        <v>13.87</v>
      </c>
      <c r="I12" s="38"/>
      <c r="J12" s="38"/>
      <c r="K12" s="2"/>
    </row>
    <row r="13" spans="1:11">
      <c r="A13" t="s">
        <v>97</v>
      </c>
      <c r="B13" s="16">
        <f>(B12/100)*B5</f>
        <v>52884.784299999999</v>
      </c>
      <c r="C13" s="16">
        <f>(C12/100)*C5</f>
        <v>52884.784299999999</v>
      </c>
      <c r="H13" t="s">
        <v>98</v>
      </c>
      <c r="I13" s="39">
        <f>(((I11*0.8)*0.5)*0.2)*0.1</f>
        <v>2011570190.1899977</v>
      </c>
      <c r="J13" s="38">
        <f>J11*0.8*0.5*0.2</f>
        <v>10192861572.959984</v>
      </c>
      <c r="K13" s="32"/>
    </row>
    <row r="14" spans="1:11">
      <c r="A14" t="s">
        <v>99</v>
      </c>
      <c r="B14" s="16">
        <f>B11*B13</f>
        <v>6501302.8166133417</v>
      </c>
      <c r="C14" s="16">
        <f>C11*C13</f>
        <v>8221821.1325066769</v>
      </c>
      <c r="H14" t="s">
        <v>100</v>
      </c>
      <c r="I14" s="38">
        <f>((((((((I13*0.839999999999999)*0.87)*0.93)*0.939999999999999)*0.949999999999999)*0.959999999999999)*0.964999999999999)*0.969999999999999)</f>
        <v>1097080303.2193041</v>
      </c>
      <c r="J14" s="38">
        <f>((((J13*0.915)*0.91)*0.915)*0.915)</f>
        <v>7105600734.3553982</v>
      </c>
      <c r="K14" s="2"/>
    </row>
    <row r="15" spans="1:11" ht="14.5" customHeight="1">
      <c r="A15" t="s">
        <v>101</v>
      </c>
      <c r="B15" s="16">
        <f>B14*0.27</f>
        <v>1755351.7604856023</v>
      </c>
      <c r="C15" s="16">
        <f>C14*0.27</f>
        <v>2219891.7057768027</v>
      </c>
      <c r="H15" s="47" t="s">
        <v>102</v>
      </c>
      <c r="I15" s="38">
        <f>I14*0.012</f>
        <v>13164963.638631649</v>
      </c>
      <c r="J15" s="38">
        <f>J14*0.012</f>
        <v>85267208.812264785</v>
      </c>
      <c r="K15" s="2"/>
    </row>
    <row r="16" spans="1:11">
      <c r="A16" t="s">
        <v>103</v>
      </c>
      <c r="B16" s="16">
        <f>B15*0.609999999999999</f>
        <v>1070764.5738962155</v>
      </c>
      <c r="C16" s="16">
        <f>C15*0.609999999999999</f>
        <v>1354133.9405238475</v>
      </c>
      <c r="H16" s="47"/>
      <c r="I16" s="38"/>
      <c r="J16" s="38"/>
      <c r="K16" s="2"/>
    </row>
    <row r="17" spans="1:13">
      <c r="A17" t="s">
        <v>104</v>
      </c>
      <c r="B17" s="16">
        <f>B16*0.63</f>
        <v>674581.68155461585</v>
      </c>
      <c r="C17" s="16">
        <f>C16*0.63</f>
        <v>853104.38253002393</v>
      </c>
      <c r="J17" s="38"/>
      <c r="K17" s="2"/>
    </row>
    <row r="18" spans="1:13">
      <c r="A18" t="s">
        <v>105</v>
      </c>
      <c r="B18" s="16">
        <f>B17*0.65</f>
        <v>438478.09301050031</v>
      </c>
      <c r="C18" s="16">
        <f>C17*0.65</f>
        <v>554517.84864451562</v>
      </c>
      <c r="H18" t="s">
        <v>106</v>
      </c>
      <c r="I18">
        <f>I15*0.02</f>
        <v>263299.272772633</v>
      </c>
      <c r="J18">
        <f>J15*0.02</f>
        <v>1705344.1762452957</v>
      </c>
      <c r="K18" s="2"/>
    </row>
    <row r="19" spans="1:13">
      <c r="B19" s="16"/>
      <c r="C19" s="16"/>
      <c r="H19" t="s">
        <v>107</v>
      </c>
      <c r="I19">
        <f>I18*0.81</f>
        <v>213272.41094583276</v>
      </c>
      <c r="J19">
        <f>J18*0.864999999999999</f>
        <v>1475122.7124521791</v>
      </c>
      <c r="K19" s="2"/>
    </row>
    <row r="20" spans="1:13">
      <c r="A20" t="s">
        <v>21</v>
      </c>
      <c r="B20" s="23">
        <f>(3.14*((1/2)^2))*B14</f>
        <v>5103522.7110414738</v>
      </c>
      <c r="C20" s="23">
        <f>(3.14*((1/2)^2))*C14</f>
        <v>6454129.5890177414</v>
      </c>
      <c r="H20" t="s">
        <v>108</v>
      </c>
      <c r="I20">
        <f>I19*0.93</f>
        <v>198343.34217962448</v>
      </c>
      <c r="J20" s="16">
        <f>J19*0.829999999999999</f>
        <v>1224351.8513353071</v>
      </c>
      <c r="K20" s="2"/>
    </row>
    <row r="21" spans="1:13">
      <c r="A21" t="s">
        <v>22</v>
      </c>
      <c r="B21" s="23">
        <f>(3.14*((2/2)^2))*B15</f>
        <v>5511804.5279247919</v>
      </c>
      <c r="C21" s="23">
        <f>(3.14*((2/2)^2))*C15</f>
        <v>6970459.9561391613</v>
      </c>
      <c r="H21" t="s">
        <v>109</v>
      </c>
      <c r="I21">
        <f>I20*0.88</f>
        <v>174542.14111806956</v>
      </c>
      <c r="J21" s="16">
        <f>J20*0.91</f>
        <v>1114160.1847151294</v>
      </c>
      <c r="K21" s="2"/>
    </row>
    <row r="22" spans="1:13">
      <c r="A22" t="s">
        <v>23</v>
      </c>
      <c r="B22" s="23">
        <f>(3.14*((3/2)^2))*B16</f>
        <v>7564951.7145767631</v>
      </c>
      <c r="C22" s="23">
        <f>(3.14*((3/2)^2))*C16</f>
        <v>9566956.2898009829</v>
      </c>
      <c r="H22" t="s">
        <v>110</v>
      </c>
      <c r="I22">
        <f>I21*0.9</f>
        <v>157087.92700626262</v>
      </c>
      <c r="J22" s="16">
        <f>J21*0.925</f>
        <v>1030598.1708614947</v>
      </c>
      <c r="K22" s="2"/>
    </row>
    <row r="23" spans="1:13">
      <c r="A23" t="s">
        <v>24</v>
      </c>
      <c r="B23" s="23">
        <f>(3.14*((4/2)^2))*B17</f>
        <v>8472745.9203259759</v>
      </c>
      <c r="C23" s="23">
        <f>(3.14*((4/2)^2))*C17</f>
        <v>10714991.044577101</v>
      </c>
      <c r="J23" s="16"/>
      <c r="K23" s="2"/>
    </row>
    <row r="24" spans="1:13">
      <c r="A24" t="s">
        <v>25</v>
      </c>
      <c r="B24" s="23">
        <f>(3.14*((5/2)^2))*B18</f>
        <v>8605132.5753310677</v>
      </c>
      <c r="C24" s="23">
        <f>(3.14*((5/2)^2))*C18</f>
        <v>10882412.779648619</v>
      </c>
      <c r="H24" t="s">
        <v>21</v>
      </c>
      <c r="I24" s="23">
        <f>(3.14*((1/2)^2))*I18</f>
        <v>206689.92912651692</v>
      </c>
      <c r="J24" s="23">
        <f>(3.14*((1/2)^2))*J18</f>
        <v>1338695.1783525571</v>
      </c>
      <c r="K24" s="2"/>
    </row>
    <row r="25" spans="1:13">
      <c r="B25" s="16"/>
      <c r="C25" s="16"/>
      <c r="H25" t="s">
        <v>22</v>
      </c>
      <c r="I25" s="23">
        <f>(3.14*((2/2)^2))*I19</f>
        <v>669675.37036991492</v>
      </c>
      <c r="J25" s="23">
        <f>(3.14*((2/2)^2))*J19</f>
        <v>4631885.3170998422</v>
      </c>
      <c r="K25" s="2"/>
    </row>
    <row r="26" spans="1:13">
      <c r="A26" t="s">
        <v>26</v>
      </c>
      <c r="B26" s="16">
        <f>B24/10000</f>
        <v>860.51325753310675</v>
      </c>
      <c r="C26" s="16"/>
      <c r="H26" t="s">
        <v>23</v>
      </c>
      <c r="I26" s="23">
        <f>(3.14*((3/2)^2))*I20</f>
        <v>1401295.7124990469</v>
      </c>
      <c r="J26" s="23">
        <f>(3.14*((3/2)^2))*J20</f>
        <v>8650045.8296839446</v>
      </c>
      <c r="K26" s="2"/>
    </row>
    <row r="27" spans="1:13">
      <c r="A27" t="s">
        <v>27</v>
      </c>
      <c r="B27" s="23">
        <f>(B26/B5)*100</f>
        <v>0.22568530892134492</v>
      </c>
      <c r="C27" s="23"/>
      <c r="H27" t="s">
        <v>24</v>
      </c>
      <c r="I27" s="23">
        <f>(3.14*((4/2)^2))*I21</f>
        <v>2192249.2924429537</v>
      </c>
      <c r="J27" s="23">
        <f>(3.14*((4/2)^2))*J21</f>
        <v>13993851.920022026</v>
      </c>
      <c r="K27" s="2"/>
    </row>
    <row r="28" spans="1:13">
      <c r="B28" s="16"/>
      <c r="H28" t="s">
        <v>25</v>
      </c>
      <c r="I28" s="23">
        <f>(3.14*((5/2)^2))*I22</f>
        <v>3082850.5674979039</v>
      </c>
      <c r="J28" s="23">
        <f>(3.14*((5/2)^2))*J22</f>
        <v>20225489.103156835</v>
      </c>
      <c r="K28" s="2"/>
    </row>
    <row r="29" spans="1:13">
      <c r="B29" s="16"/>
      <c r="J29" s="23"/>
      <c r="K29" s="2" t="s">
        <v>12</v>
      </c>
      <c r="M29" t="s">
        <v>111</v>
      </c>
    </row>
    <row r="30" spans="1:13">
      <c r="B30" s="16"/>
      <c r="H30" t="s">
        <v>26</v>
      </c>
      <c r="I30">
        <f>I28/10000</f>
        <v>308.28505674979039</v>
      </c>
      <c r="J30">
        <f>J28/10000</f>
        <v>2022.5489103156835</v>
      </c>
      <c r="K30" s="2">
        <f>SUM(I30:J30)</f>
        <v>2330.8339670654741</v>
      </c>
    </row>
    <row r="31" spans="1:13">
      <c r="B31" s="16"/>
      <c r="H31" t="s">
        <v>27</v>
      </c>
      <c r="I31">
        <f>(I30/I6)*100</f>
        <v>8.0853383325978551E-2</v>
      </c>
      <c r="J31">
        <f>(J30/J6)*100</f>
        <v>0.53045036974989668</v>
      </c>
      <c r="K31" s="2">
        <f>(K30/J6)*100</f>
        <v>0.61130375307587526</v>
      </c>
      <c r="M31" s="35">
        <f>K31+B27</f>
        <v>0.83698906199722023</v>
      </c>
    </row>
    <row r="32" spans="1:13">
      <c r="B32" s="16"/>
      <c r="J32" s="23"/>
      <c r="K32" s="2"/>
    </row>
    <row r="33" spans="2:11">
      <c r="B33" s="16"/>
      <c r="K33" s="2"/>
    </row>
    <row r="34" spans="2:11">
      <c r="B34" s="16"/>
      <c r="K34" s="2"/>
    </row>
    <row r="35" spans="2:11">
      <c r="B35" s="23"/>
      <c r="J35" s="23"/>
      <c r="K35" s="2"/>
    </row>
    <row r="36" spans="2:11">
      <c r="B36" s="23"/>
    </row>
    <row r="38" spans="2:11">
      <c r="B38" s="23"/>
    </row>
    <row r="39" spans="2:11">
      <c r="B39" s="23"/>
    </row>
    <row r="41" spans="2:11">
      <c r="B41" s="23"/>
    </row>
    <row r="42" spans="2:11">
      <c r="B42" s="23"/>
      <c r="H42" s="32"/>
      <c r="I42" s="16"/>
    </row>
    <row r="43" spans="2:11">
      <c r="B43" s="23"/>
      <c r="H43" s="32"/>
      <c r="I43" s="16"/>
    </row>
    <row r="44" spans="2:11">
      <c r="B44" s="23"/>
      <c r="H44" s="32"/>
      <c r="I44" s="16"/>
    </row>
    <row r="45" spans="2:11">
      <c r="B45" s="23"/>
      <c r="H45" s="32"/>
      <c r="I45" s="16"/>
    </row>
    <row r="46" spans="2:11">
      <c r="H46" s="32"/>
      <c r="I46" s="16"/>
    </row>
    <row r="48" spans="2:11">
      <c r="I48" s="17"/>
    </row>
    <row r="49" spans="9:9">
      <c r="I49" s="23"/>
    </row>
    <row r="50" spans="9:9">
      <c r="I50" s="23"/>
    </row>
    <row r="51" spans="9:9">
      <c r="I51" s="23"/>
    </row>
    <row r="52" spans="9:9">
      <c r="I52" s="23"/>
    </row>
    <row r="53" spans="9:9">
      <c r="I53" s="23"/>
    </row>
    <row r="54" spans="9:9">
      <c r="I54" s="23"/>
    </row>
    <row r="55" spans="9:9">
      <c r="I55" s="23"/>
    </row>
    <row r="56" spans="9:9">
      <c r="I56" s="23"/>
    </row>
    <row r="57" spans="9:9">
      <c r="I57" s="23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">
    <mergeCell ref="H15:H16"/>
    <mergeCell ref="I3:J3"/>
  </mergeCells>
  <pageMargins left="0.7" right="0.7" top="0.75" bottom="0.75" header="0.511811023622047" footer="0.511811023622047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J35"/>
  <sheetViews>
    <sheetView workbookViewId="0">
      <selection activeCell="B36" sqref="B36"/>
    </sheetView>
  </sheetViews>
  <sheetFormatPr defaultColWidth="9.1796875" defaultRowHeight="14.5"/>
  <cols>
    <col min="1" max="1" width="21.81640625" style="1" customWidth="1"/>
    <col min="2" max="3" width="10" style="23" customWidth="1"/>
    <col min="4" max="4" width="40.1796875" style="2" customWidth="1"/>
    <col min="5" max="5" width="10" style="2" customWidth="1"/>
    <col min="6" max="6" width="71.90625" style="2" customWidth="1"/>
    <col min="7" max="7" width="10" style="2" customWidth="1"/>
    <col min="8" max="8" width="10" style="23" customWidth="1"/>
    <col min="9" max="17" width="10" style="2" customWidth="1"/>
    <col min="18" max="1024" width="10.453125" style="1" bestFit="1" customWidth="1"/>
    <col min="1025" max="16384" width="9.1796875" style="3"/>
  </cols>
  <sheetData>
    <row r="1" spans="1:17">
      <c r="A1" s="34" t="s">
        <v>112</v>
      </c>
    </row>
    <row r="3" spans="1:17">
      <c r="A3" s="15" t="s">
        <v>113</v>
      </c>
      <c r="F3" s="32" t="s">
        <v>114</v>
      </c>
    </row>
    <row r="5" spans="1:17" s="15" customFormat="1">
      <c r="B5" s="19" t="s">
        <v>28</v>
      </c>
      <c r="C5" s="19" t="s">
        <v>19</v>
      </c>
      <c r="D5" s="37" t="s">
        <v>115</v>
      </c>
      <c r="E5" s="37"/>
      <c r="G5" s="19" t="s">
        <v>28</v>
      </c>
      <c r="H5" s="19" t="s">
        <v>19</v>
      </c>
      <c r="I5" s="37"/>
      <c r="J5" s="37"/>
      <c r="K5" s="37"/>
      <c r="L5" s="37"/>
      <c r="M5" s="37"/>
      <c r="N5" s="37"/>
      <c r="O5" s="37"/>
      <c r="P5" s="37"/>
      <c r="Q5" s="37"/>
    </row>
    <row r="6" spans="1:17">
      <c r="A6" t="s">
        <v>29</v>
      </c>
      <c r="B6">
        <v>65</v>
      </c>
      <c r="C6">
        <f>B6+8.92999999999999-4.23</f>
        <v>69.699999999999989</v>
      </c>
      <c r="F6" t="s">
        <v>29</v>
      </c>
      <c r="G6" s="23">
        <v>65</v>
      </c>
      <c r="H6">
        <f>C6+Reproduction!M31</f>
        <v>70.536989061997204</v>
      </c>
    </row>
    <row r="7" spans="1:17">
      <c r="A7" t="s">
        <v>30</v>
      </c>
      <c r="B7">
        <v>7.3758865248226897</v>
      </c>
      <c r="C7">
        <f>B7+Growth!G28-Mortality!G38</f>
        <v>9.3375922219234049</v>
      </c>
      <c r="D7" s="23"/>
      <c r="F7" t="s">
        <v>30</v>
      </c>
      <c r="G7" s="23">
        <v>7.3758865248226897</v>
      </c>
      <c r="H7">
        <f>C7+Reproduction!B27+(Reproduction!I31/2)</f>
        <v>9.6037042225077407</v>
      </c>
    </row>
    <row r="8" spans="1:17">
      <c r="A8" t="s">
        <v>31</v>
      </c>
      <c r="B8">
        <v>41.028368794326198</v>
      </c>
      <c r="C8">
        <f>B8+Growth!G29-Mortality!G39</f>
        <v>43.559965008594624</v>
      </c>
      <c r="F8" t="s">
        <v>31</v>
      </c>
      <c r="G8" s="23">
        <v>41.028368794326198</v>
      </c>
      <c r="H8">
        <f>C8+(Reproduction!I31/2)</f>
        <v>43.60039170025761</v>
      </c>
    </row>
    <row r="9" spans="1:17">
      <c r="A9" t="s">
        <v>32</v>
      </c>
      <c r="B9">
        <v>16.595744680851102</v>
      </c>
      <c r="C9">
        <f>B9+Growth!G30-Mortality!G40</f>
        <v>16.782538473050515</v>
      </c>
      <c r="F9" t="s">
        <v>32</v>
      </c>
      <c r="G9" s="23">
        <v>16.595744680851102</v>
      </c>
      <c r="H9">
        <f>C9+Reproduction!J31</f>
        <v>17.312988842800412</v>
      </c>
    </row>
    <row r="10" spans="1:17" ht="14.5" customHeight="1">
      <c r="A10" t="s">
        <v>33</v>
      </c>
      <c r="B10">
        <v>4.6100000000000003</v>
      </c>
      <c r="C10" s="40">
        <f>B10+1.22</f>
        <v>5.83</v>
      </c>
      <c r="D10" s="49" t="s">
        <v>116</v>
      </c>
      <c r="F10" t="s">
        <v>33</v>
      </c>
      <c r="G10" s="23">
        <v>4.6100000000000003</v>
      </c>
      <c r="H10">
        <f>C10+Reproduction!B27</f>
        <v>6.0556853089213449</v>
      </c>
    </row>
    <row r="11" spans="1:17">
      <c r="A11" t="s">
        <v>34</v>
      </c>
      <c r="B11">
        <v>60.4</v>
      </c>
      <c r="C11" s="40">
        <f>B11+3.45</f>
        <v>63.85</v>
      </c>
      <c r="D11" s="49"/>
      <c r="F11" t="s">
        <v>34</v>
      </c>
      <c r="G11" s="23">
        <v>60.4</v>
      </c>
      <c r="H11">
        <f>C11+Reproduction!K31</f>
        <v>64.461303753075882</v>
      </c>
    </row>
    <row r="12" spans="1:17">
      <c r="A12" t="s">
        <v>35</v>
      </c>
      <c r="B12">
        <v>43.8</v>
      </c>
      <c r="C12" s="40">
        <f>B12+3.27</f>
        <v>47.07</v>
      </c>
      <c r="D12" s="49"/>
      <c r="F12" t="s">
        <v>35</v>
      </c>
      <c r="G12" s="23">
        <v>43.8</v>
      </c>
      <c r="H12">
        <f>C12+Reproduction!I31</f>
        <v>47.15085338332598</v>
      </c>
    </row>
    <row r="13" spans="1:17">
      <c r="A13" t="s">
        <v>36</v>
      </c>
      <c r="B13">
        <v>16.600000000000001</v>
      </c>
      <c r="C13" s="40">
        <v>16.78</v>
      </c>
      <c r="D13" s="49"/>
      <c r="F13" t="s">
        <v>36</v>
      </c>
      <c r="G13" s="23">
        <v>16.600000000000001</v>
      </c>
      <c r="H13">
        <f>C13+Reproduction!J31</f>
        <v>17.310450369749898</v>
      </c>
    </row>
    <row r="35" spans="2:2">
      <c r="B35">
        <f>B7+B8+B9</f>
        <v>64.999999999999986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">
    <mergeCell ref="D10:D13"/>
  </mergeCells>
  <pageMargins left="0.7" right="0.7" top="0.75" bottom="0.75" header="0.511811023622047" footer="0.511811023622047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J36"/>
  <sheetViews>
    <sheetView workbookViewId="0">
      <selection activeCell="E31" sqref="E31"/>
    </sheetView>
  </sheetViews>
  <sheetFormatPr defaultColWidth="9.1796875" defaultRowHeight="14.5"/>
  <cols>
    <col min="1" max="1" width="10.453125" style="1" bestFit="1" customWidth="1"/>
    <col min="2" max="2" width="13.7265625" style="1" customWidth="1"/>
    <col min="3" max="3" width="19.08984375" style="1" customWidth="1"/>
    <col min="4" max="4" width="8.7265625" style="30" customWidth="1"/>
    <col min="5" max="5" width="6.453125" style="2" customWidth="1"/>
    <col min="6" max="23" width="10" style="2" customWidth="1"/>
    <col min="24" max="1024" width="10.453125" style="1" bestFit="1" customWidth="1"/>
    <col min="1025" max="16384" width="9.1796875" style="3"/>
  </cols>
  <sheetData>
    <row r="1" spans="2:24">
      <c r="C1" s="19" t="s">
        <v>117</v>
      </c>
      <c r="D1" s="41">
        <v>2.5</v>
      </c>
      <c r="E1" s="17">
        <v>7.5</v>
      </c>
      <c r="F1" s="17">
        <v>12.5</v>
      </c>
      <c r="G1" s="17">
        <v>17.5</v>
      </c>
      <c r="H1" s="17">
        <v>22.5</v>
      </c>
      <c r="I1" s="17">
        <v>27.5</v>
      </c>
      <c r="J1" s="17">
        <v>32.5</v>
      </c>
      <c r="K1" s="17">
        <v>37.5</v>
      </c>
      <c r="L1" s="17">
        <v>42.5</v>
      </c>
      <c r="M1" s="17">
        <v>47.5</v>
      </c>
      <c r="N1" s="17">
        <v>52.5</v>
      </c>
      <c r="O1" s="17">
        <v>57.5</v>
      </c>
      <c r="P1" s="17">
        <v>62.5</v>
      </c>
      <c r="Q1" s="17">
        <v>67.5</v>
      </c>
      <c r="R1" s="17">
        <v>72.5</v>
      </c>
      <c r="S1" s="17">
        <v>77.5</v>
      </c>
      <c r="T1" s="17">
        <v>82.5</v>
      </c>
      <c r="U1" s="17">
        <v>87.5</v>
      </c>
      <c r="V1" s="17">
        <v>92.5</v>
      </c>
      <c r="W1" s="17">
        <v>100</v>
      </c>
    </row>
    <row r="2" spans="2:24">
      <c r="C2" s="19" t="s">
        <v>7</v>
      </c>
      <c r="D2" s="41">
        <v>5</v>
      </c>
      <c r="E2" s="19">
        <v>10</v>
      </c>
      <c r="F2" s="19">
        <v>15</v>
      </c>
      <c r="G2" s="19">
        <v>20</v>
      </c>
      <c r="H2" s="19">
        <v>25</v>
      </c>
      <c r="I2" s="19">
        <v>30</v>
      </c>
      <c r="J2" s="19">
        <v>35</v>
      </c>
      <c r="K2" s="19">
        <v>40</v>
      </c>
      <c r="L2" s="19">
        <v>45</v>
      </c>
      <c r="M2" s="19">
        <v>50</v>
      </c>
      <c r="N2" s="19">
        <v>55</v>
      </c>
      <c r="O2" s="19">
        <v>60</v>
      </c>
      <c r="P2" s="19">
        <v>65</v>
      </c>
      <c r="Q2" s="19">
        <v>70</v>
      </c>
      <c r="R2" s="19">
        <v>75</v>
      </c>
      <c r="S2" s="19">
        <v>80</v>
      </c>
      <c r="T2" s="19">
        <v>85</v>
      </c>
      <c r="U2" s="19">
        <v>90</v>
      </c>
      <c r="V2" s="19">
        <v>95</v>
      </c>
      <c r="W2" s="19" t="s">
        <v>8</v>
      </c>
    </row>
    <row r="3" spans="2:24">
      <c r="B3" t="s">
        <v>118</v>
      </c>
      <c r="C3" t="s">
        <v>4</v>
      </c>
      <c r="D3">
        <v>0</v>
      </c>
      <c r="E3" s="17">
        <v>1.50372953428766</v>
      </c>
      <c r="F3" s="17">
        <v>18.9821909046176</v>
      </c>
      <c r="G3" s="17">
        <v>15.7641084072662</v>
      </c>
      <c r="H3" s="17">
        <v>11.6972430758897</v>
      </c>
      <c r="I3" s="17">
        <v>9.9893039920042703</v>
      </c>
      <c r="J3" s="17">
        <v>8.2813649081188405</v>
      </c>
      <c r="K3" s="17">
        <v>6.5734258242334196</v>
      </c>
      <c r="L3" s="17">
        <v>4.8654867403480004</v>
      </c>
      <c r="M3" s="17">
        <v>3.15754765646258</v>
      </c>
      <c r="N3" s="17">
        <v>2.51418690283514</v>
      </c>
      <c r="O3" s="17">
        <v>2.0737914895557901</v>
      </c>
      <c r="P3" s="17">
        <v>2.0262354925201902</v>
      </c>
      <c r="Q3" s="17">
        <v>1.9786794954845901</v>
      </c>
      <c r="R3" s="17">
        <v>1.93112349844899</v>
      </c>
      <c r="S3" s="17">
        <v>1.8835675014133799</v>
      </c>
      <c r="T3" s="17">
        <v>1.83601150437778</v>
      </c>
      <c r="U3" s="17">
        <v>1.77351114396168</v>
      </c>
      <c r="V3" s="17">
        <v>1.6462518755634199</v>
      </c>
      <c r="W3" s="17">
        <v>1.52224005261074</v>
      </c>
    </row>
    <row r="4" spans="2:24">
      <c r="C4" t="s">
        <v>5</v>
      </c>
      <c r="D4">
        <v>0</v>
      </c>
      <c r="E4" s="17">
        <v>0</v>
      </c>
      <c r="F4" s="17">
        <v>16.536143646336299</v>
      </c>
      <c r="G4" s="17">
        <v>12.002206366234599</v>
      </c>
      <c r="H4" s="17">
        <v>11.2170824878521</v>
      </c>
      <c r="I4" s="17">
        <v>7.4258582854396602</v>
      </c>
      <c r="J4" s="17">
        <v>7.1712226995330202</v>
      </c>
      <c r="K4" s="17">
        <v>6.0324399594999498</v>
      </c>
      <c r="L4" s="17">
        <v>6.3967073814818196</v>
      </c>
      <c r="M4" s="17">
        <v>4.3295701296159796</v>
      </c>
      <c r="N4" s="17">
        <v>3.76548303976509</v>
      </c>
      <c r="O4" s="17">
        <v>3.1303992984419802</v>
      </c>
      <c r="P4" s="17">
        <v>3.0419845830293299</v>
      </c>
      <c r="Q4" s="17">
        <v>2.9535698676166899</v>
      </c>
      <c r="R4" s="17">
        <v>2.8651551522040402</v>
      </c>
      <c r="S4" s="17">
        <v>2.7767404367914001</v>
      </c>
      <c r="T4" s="17">
        <v>2.6883257213787499</v>
      </c>
      <c r="U4" s="17">
        <v>2.5999110059661099</v>
      </c>
      <c r="V4" s="17">
        <v>2.5557036482597901</v>
      </c>
      <c r="W4" s="17">
        <v>2.5114962905534699</v>
      </c>
    </row>
    <row r="5" spans="2:24">
      <c r="C5" t="s">
        <v>6</v>
      </c>
      <c r="D5">
        <v>7.8</v>
      </c>
      <c r="E5" s="17">
        <v>10.072838089634599</v>
      </c>
      <c r="F5" s="17">
        <v>23.364245155086898</v>
      </c>
      <c r="G5" s="17">
        <v>10.320223841852799</v>
      </c>
      <c r="H5" s="17">
        <v>9.6909946985015001</v>
      </c>
      <c r="I5" s="17">
        <v>5.7799122732969002</v>
      </c>
      <c r="J5" s="17">
        <v>5.7298337090961704</v>
      </c>
      <c r="K5" s="17">
        <v>4.71450417964446</v>
      </c>
      <c r="L5" s="17">
        <v>5.3401012911194004</v>
      </c>
      <c r="M5" s="17">
        <v>3.3112582481541799</v>
      </c>
      <c r="N5" s="17">
        <v>2.9233418461156102</v>
      </c>
      <c r="O5" s="17">
        <v>2.4871628958144898</v>
      </c>
      <c r="P5" s="17">
        <v>2.1664662557972099</v>
      </c>
      <c r="Q5" s="17">
        <v>1.8457696157799399</v>
      </c>
      <c r="R5" s="17">
        <v>1.52507297576266</v>
      </c>
      <c r="S5" s="17">
        <v>1.20437633574539</v>
      </c>
      <c r="T5" s="17">
        <v>0.883679695728115</v>
      </c>
      <c r="U5" s="17">
        <v>0.56298305571083995</v>
      </c>
      <c r="V5" s="17">
        <v>0.29054896395611401</v>
      </c>
      <c r="W5" s="17">
        <v>0</v>
      </c>
    </row>
    <row r="6" spans="2:24">
      <c r="X6" s="42" t="s">
        <v>12</v>
      </c>
    </row>
    <row r="7" spans="2:24">
      <c r="B7" t="s">
        <v>119</v>
      </c>
      <c r="C7" t="s">
        <v>4</v>
      </c>
      <c r="D7">
        <v>0</v>
      </c>
      <c r="E7" s="23">
        <f t="shared" ref="E7:W7" si="0">(E1/2)*(((2.27999999999999+(0.67*E1))/2)*3.14)*((E3/100))</f>
        <v>0.64672681759931283</v>
      </c>
      <c r="F7" s="23">
        <f t="shared" si="0"/>
        <v>19.846295826203718</v>
      </c>
      <c r="G7" s="23">
        <f t="shared" si="0"/>
        <v>30.329149466236942</v>
      </c>
      <c r="H7" s="23">
        <f t="shared" si="0"/>
        <v>35.855873563932342</v>
      </c>
      <c r="I7" s="23">
        <f t="shared" si="0"/>
        <v>44.649110889966529</v>
      </c>
      <c r="J7" s="23">
        <f t="shared" si="0"/>
        <v>50.823000409631753</v>
      </c>
      <c r="K7" s="23">
        <f t="shared" si="0"/>
        <v>53.030106281173758</v>
      </c>
      <c r="L7" s="23">
        <f t="shared" si="0"/>
        <v>49.922992662838233</v>
      </c>
      <c r="M7" s="23">
        <f t="shared" si="0"/>
        <v>40.154223712870831</v>
      </c>
      <c r="N7" s="23">
        <f t="shared" si="0"/>
        <v>38.809345732430053</v>
      </c>
      <c r="O7" s="23">
        <f t="shared" si="0"/>
        <v>38.195831738976374</v>
      </c>
      <c r="P7" s="23">
        <f t="shared" si="0"/>
        <v>43.895447571999838</v>
      </c>
      <c r="Q7" s="23">
        <f t="shared" si="0"/>
        <v>49.80675015330845</v>
      </c>
      <c r="R7" s="23">
        <f t="shared" si="0"/>
        <v>55.892221367940891</v>
      </c>
      <c r="S7" s="23">
        <f t="shared" si="0"/>
        <v>62.114343100935528</v>
      </c>
      <c r="T7" s="23">
        <f t="shared" si="0"/>
        <v>68.435597237331677</v>
      </c>
      <c r="U7" s="23">
        <f t="shared" si="0"/>
        <v>74.193281343163576</v>
      </c>
      <c r="V7" s="23">
        <f t="shared" si="0"/>
        <v>76.809440245184831</v>
      </c>
      <c r="W7" s="23">
        <f t="shared" si="0"/>
        <v>82.786720813224562</v>
      </c>
      <c r="X7" s="43">
        <f>SUM(E7:W7)</f>
        <v>916.19645893494919</v>
      </c>
    </row>
    <row r="8" spans="2:24">
      <c r="C8" t="s">
        <v>5</v>
      </c>
      <c r="D8">
        <v>0</v>
      </c>
      <c r="E8" s="23">
        <f t="shared" ref="E8:W8" si="1">(E1/2)*(((2.27999999999999+(0.67*E1))/2)*3.14)*((E4/100))</f>
        <v>0</v>
      </c>
      <c r="F8" s="23">
        <f t="shared" si="1"/>
        <v>17.288899910386849</v>
      </c>
      <c r="G8" s="23">
        <f t="shared" si="1"/>
        <v>23.091487409358486</v>
      </c>
      <c r="H8" s="23">
        <f t="shared" si="1"/>
        <v>34.384024409104882</v>
      </c>
      <c r="I8" s="23">
        <f t="shared" si="1"/>
        <v>33.191298443331064</v>
      </c>
      <c r="J8" s="23">
        <f t="shared" si="1"/>
        <v>44.010022289757671</v>
      </c>
      <c r="K8" s="23">
        <f t="shared" si="1"/>
        <v>48.665785655897025</v>
      </c>
      <c r="L8" s="23">
        <f t="shared" si="1"/>
        <v>65.634291637017043</v>
      </c>
      <c r="M8" s="23">
        <f t="shared" si="1"/>
        <v>55.058718499257431</v>
      </c>
      <c r="N8" s="23">
        <f t="shared" si="1"/>
        <v>58.124530429720181</v>
      </c>
      <c r="O8" s="23">
        <f t="shared" si="1"/>
        <v>57.656811439954005</v>
      </c>
      <c r="P8" s="23">
        <f t="shared" si="1"/>
        <v>65.900175607483192</v>
      </c>
      <c r="Q8" s="23">
        <f t="shared" si="1"/>
        <v>74.346409710329183</v>
      </c>
      <c r="R8" s="23">
        <f t="shared" si="1"/>
        <v>82.925761169134589</v>
      </c>
      <c r="S8" s="23">
        <f t="shared" si="1"/>
        <v>91.568477404543017</v>
      </c>
      <c r="T8" s="23">
        <f t="shared" si="1"/>
        <v>100.20480583719691</v>
      </c>
      <c r="U8" s="23">
        <f t="shared" si="1"/>
        <v>108.76499388774006</v>
      </c>
      <c r="V8" s="23">
        <f t="shared" si="1"/>
        <v>119.24187882138507</v>
      </c>
      <c r="W8" s="23">
        <f t="shared" si="1"/>
        <v>136.58722346249235</v>
      </c>
      <c r="X8" s="43">
        <f>SUM(E8:W8)</f>
        <v>1216.6455960240892</v>
      </c>
    </row>
    <row r="9" spans="2:24">
      <c r="C9" t="s">
        <v>6</v>
      </c>
      <c r="D9" s="40">
        <f t="shared" ref="D9:W9" si="2">(D1/2)*(((2.27999999999999+(0.67*D1))/2)*3.14)*((D5/100))</f>
        <v>0.60541162499999857</v>
      </c>
      <c r="E9" s="23">
        <f t="shared" si="2"/>
        <v>4.3321450921614613</v>
      </c>
      <c r="F9" s="23">
        <f t="shared" si="2"/>
        <v>24.427829402506099</v>
      </c>
      <c r="G9" s="23">
        <f t="shared" si="2"/>
        <v>19.855459207594755</v>
      </c>
      <c r="H9" s="23">
        <f t="shared" si="2"/>
        <v>29.706066494799153</v>
      </c>
      <c r="I9" s="23">
        <f t="shared" si="2"/>
        <v>25.834426926167922</v>
      </c>
      <c r="J9" s="23">
        <f t="shared" si="2"/>
        <v>35.164172111172661</v>
      </c>
      <c r="K9" s="23">
        <f t="shared" si="2"/>
        <v>38.033540560829159</v>
      </c>
      <c r="L9" s="23">
        <f t="shared" si="2"/>
        <v>54.792840223894821</v>
      </c>
      <c r="M9" s="23">
        <f t="shared" si="2"/>
        <v>42.108946224561095</v>
      </c>
      <c r="N9" s="23">
        <f t="shared" si="2"/>
        <v>45.125119485764969</v>
      </c>
      <c r="O9" s="23">
        <f t="shared" si="2"/>
        <v>45.809453821369708</v>
      </c>
      <c r="P9" s="23">
        <f t="shared" si="2"/>
        <v>46.933343285568583</v>
      </c>
      <c r="Q9" s="23">
        <f t="shared" si="2"/>
        <v>46.461180956042085</v>
      </c>
      <c r="R9" s="23">
        <f t="shared" si="2"/>
        <v>44.139961236064117</v>
      </c>
      <c r="S9" s="23">
        <f t="shared" si="2"/>
        <v>39.716678528909597</v>
      </c>
      <c r="T9" s="23">
        <f t="shared" si="2"/>
        <v>32.938327237852448</v>
      </c>
      <c r="U9" s="23">
        <f t="shared" si="2"/>
        <v>23.551901766167191</v>
      </c>
      <c r="V9" s="23">
        <f t="shared" si="2"/>
        <v>13.556190043913949</v>
      </c>
      <c r="W9" s="23">
        <f t="shared" si="2"/>
        <v>0</v>
      </c>
      <c r="X9" s="43">
        <f>SUM(E9:W9)</f>
        <v>612.48758260533975</v>
      </c>
    </row>
    <row r="11" spans="2:24">
      <c r="B11" t="s">
        <v>120</v>
      </c>
      <c r="C11" s="44" t="s">
        <v>4</v>
      </c>
      <c r="D11" s="40"/>
      <c r="E11" s="23">
        <v>3.1411216095135299</v>
      </c>
      <c r="F11" s="23">
        <v>60.7758364852508</v>
      </c>
      <c r="G11" s="23">
        <v>71.725302026354797</v>
      </c>
      <c r="H11" s="23">
        <v>71.744277113484898</v>
      </c>
      <c r="I11" s="23">
        <v>79.437924952014797</v>
      </c>
      <c r="J11" s="23">
        <v>82.867497403947098</v>
      </c>
      <c r="K11" s="23">
        <v>80.827152575522206</v>
      </c>
      <c r="L11" s="23">
        <v>72.111048572980906</v>
      </c>
      <c r="M11" s="23">
        <v>55.5133435025637</v>
      </c>
      <c r="N11" s="23">
        <v>51.733729922581603</v>
      </c>
      <c r="O11" s="23">
        <v>49.372061973622998</v>
      </c>
      <c r="P11" s="23">
        <v>55.263299621353703</v>
      </c>
      <c r="Q11" s="23">
        <v>61.290519069641299</v>
      </c>
      <c r="R11" s="23">
        <v>67.4201447571171</v>
      </c>
      <c r="S11" s="23">
        <v>73.618601122412201</v>
      </c>
      <c r="T11" s="23">
        <v>79.852312604158101</v>
      </c>
      <c r="U11" s="23">
        <v>85.368353385683605</v>
      </c>
      <c r="V11" s="23">
        <v>87.273595064795998</v>
      </c>
      <c r="W11" s="23">
        <v>92.742435953131604</v>
      </c>
    </row>
    <row r="12" spans="2:24">
      <c r="C12" s="44" t="s">
        <v>5</v>
      </c>
      <c r="D12" s="40"/>
      <c r="E12" s="23">
        <v>0</v>
      </c>
      <c r="F12" s="23">
        <v>28.863048050496801</v>
      </c>
      <c r="G12" s="23">
        <v>33.769057799091001</v>
      </c>
      <c r="H12" s="23">
        <v>46.368452191762799</v>
      </c>
      <c r="I12" s="23">
        <v>42.3715479011871</v>
      </c>
      <c r="J12" s="23">
        <v>54.0007621276809</v>
      </c>
      <c r="K12" s="23">
        <v>57.950668623896703</v>
      </c>
      <c r="L12" s="23">
        <v>76.343771383795499</v>
      </c>
      <c r="M12" s="23">
        <v>62.844789387095602</v>
      </c>
      <c r="N12" s="23">
        <v>65.322432517358493</v>
      </c>
      <c r="O12" s="23">
        <v>63.960872041665397</v>
      </c>
      <c r="P12" s="23">
        <v>72.304048429357906</v>
      </c>
      <c r="Q12" s="23">
        <v>80.801663148147895</v>
      </c>
      <c r="R12" s="23">
        <v>89.386862466123802</v>
      </c>
      <c r="S12" s="23">
        <v>97.992792651374501</v>
      </c>
      <c r="T12" s="23">
        <v>106.552599971988</v>
      </c>
      <c r="U12" s="23">
        <v>114.99943069605401</v>
      </c>
      <c r="V12" s="23">
        <v>125.43616681173501</v>
      </c>
      <c r="W12" s="23">
        <v>142.86420262022901</v>
      </c>
    </row>
    <row r="13" spans="2:24">
      <c r="C13" s="44" t="s">
        <v>6</v>
      </c>
      <c r="D13" s="40"/>
      <c r="E13" s="23">
        <v>6.0276970636921199</v>
      </c>
      <c r="F13" s="23">
        <v>30.171716440561902</v>
      </c>
      <c r="G13" s="23">
        <v>23.149281548203799</v>
      </c>
      <c r="H13" s="23">
        <v>33.4690036502897</v>
      </c>
      <c r="I13" s="23">
        <v>28.454065924628299</v>
      </c>
      <c r="J13" s="23">
        <v>38.109193874520699</v>
      </c>
      <c r="K13" s="23">
        <v>40.7233455307586</v>
      </c>
      <c r="L13" s="23">
        <v>58.1192182230334</v>
      </c>
      <c r="M13" s="23">
        <v>44.331071385891399</v>
      </c>
      <c r="N13" s="23">
        <v>47.215506018493002</v>
      </c>
      <c r="O13" s="23">
        <v>47.686919275635603</v>
      </c>
      <c r="P13" s="23">
        <v>48.645861987784201</v>
      </c>
      <c r="Q13" s="23">
        <v>47.978181491306501</v>
      </c>
      <c r="R13" s="23">
        <v>45.4349040866664</v>
      </c>
      <c r="S13" s="23">
        <v>40.767056074327598</v>
      </c>
      <c r="T13" s="23">
        <v>33.725663754753803</v>
      </c>
      <c r="U13" s="23">
        <v>24.061753428408899</v>
      </c>
      <c r="V13" s="23">
        <v>13.8223575046274</v>
      </c>
      <c r="W13" s="23">
        <v>0</v>
      </c>
    </row>
    <row r="15" spans="2:24" ht="27" customHeight="1">
      <c r="B15" s="25" t="s">
        <v>121</v>
      </c>
      <c r="C15" t="s">
        <v>4</v>
      </c>
      <c r="E15" s="23">
        <v>0.54048296646546701</v>
      </c>
      <c r="F15" s="23">
        <v>16.538850960863101</v>
      </c>
      <c r="G15" s="23">
        <v>27.332520896354399</v>
      </c>
      <c r="H15" s="23">
        <v>32.220882378599597</v>
      </c>
      <c r="I15" s="23">
        <v>40.007741656909502</v>
      </c>
      <c r="J15" s="23">
        <v>45.409010521180797</v>
      </c>
      <c r="K15" s="23">
        <v>47.244487916326101</v>
      </c>
      <c r="L15" s="23">
        <v>44.347847409576701</v>
      </c>
      <c r="M15" s="23">
        <v>35.566637190483</v>
      </c>
      <c r="N15" s="23">
        <v>34.2755048944829</v>
      </c>
      <c r="O15" s="23">
        <v>33.635337554765599</v>
      </c>
      <c r="P15" s="23">
        <v>38.541433937031201</v>
      </c>
      <c r="Q15" s="23">
        <v>43.603507651384</v>
      </c>
      <c r="R15" s="23">
        <v>48.787175091099201</v>
      </c>
      <c r="S15" s="23">
        <v>54.058438975582803</v>
      </c>
      <c r="T15" s="23">
        <v>59.3836883503715</v>
      </c>
      <c r="U15" s="23">
        <v>64.188816170307206</v>
      </c>
      <c r="V15" s="23">
        <v>66.254475856467195</v>
      </c>
      <c r="W15" s="23">
        <v>71.410373228175004</v>
      </c>
    </row>
    <row r="16" spans="2:24">
      <c r="B16" s="25"/>
      <c r="C16" t="s">
        <v>5</v>
      </c>
      <c r="E16" s="23">
        <v>0</v>
      </c>
      <c r="F16" s="23">
        <v>16.3377946498447</v>
      </c>
      <c r="G16" s="23">
        <v>22.2307420559201</v>
      </c>
      <c r="H16" s="23">
        <v>33.035289045882003</v>
      </c>
      <c r="I16" s="23">
        <v>31.824618849236199</v>
      </c>
      <c r="J16" s="23">
        <v>42.112044308088699</v>
      </c>
      <c r="K16" s="23">
        <v>46.472115021883297</v>
      </c>
      <c r="L16" s="23">
        <v>62.547744559406397</v>
      </c>
      <c r="M16" s="23">
        <v>52.362127464457998</v>
      </c>
      <c r="N16" s="23">
        <v>55.164431768450697</v>
      </c>
      <c r="O16" s="23">
        <v>54.608089915171</v>
      </c>
      <c r="P16" s="23">
        <v>62.287050863409597</v>
      </c>
      <c r="Q16" s="23">
        <v>70.125210893785507</v>
      </c>
      <c r="R16" s="23">
        <v>78.055726920467805</v>
      </c>
      <c r="S16" s="23">
        <v>86.012299983546498</v>
      </c>
      <c r="T16" s="23">
        <v>93.929175249032895</v>
      </c>
      <c r="U16" s="23">
        <v>101.741142008859</v>
      </c>
      <c r="V16" s="23">
        <v>111.308902640729</v>
      </c>
      <c r="W16" s="23">
        <v>127.500288561601</v>
      </c>
    </row>
    <row r="17" spans="2:24">
      <c r="B17" s="25"/>
      <c r="C17" t="s">
        <v>6</v>
      </c>
      <c r="E17" s="23">
        <v>4.1020991769058899</v>
      </c>
      <c r="F17" s="23">
        <v>23.0839939260573</v>
      </c>
      <c r="G17" s="23">
        <v>19.1153382292297</v>
      </c>
      <c r="H17" s="23">
        <v>28.5408270246581</v>
      </c>
      <c r="I17" s="23">
        <v>24.7706726965644</v>
      </c>
      <c r="J17" s="23">
        <v>33.647680618139297</v>
      </c>
      <c r="K17" s="23">
        <v>36.319131558459503</v>
      </c>
      <c r="L17" s="23">
        <v>52.2161280106763</v>
      </c>
      <c r="M17" s="23">
        <v>40.046591524541498</v>
      </c>
      <c r="N17" s="23">
        <v>42.827039745732499</v>
      </c>
      <c r="O17" s="23">
        <v>43.387185499278999</v>
      </c>
      <c r="P17" s="23">
        <v>44.360117609248398</v>
      </c>
      <c r="Q17" s="23">
        <v>43.823234041981202</v>
      </c>
      <c r="R17" s="23">
        <v>41.547725482978699</v>
      </c>
      <c r="S17" s="23">
        <v>37.306756263800999</v>
      </c>
      <c r="T17" s="23">
        <v>30.875464362067099</v>
      </c>
      <c r="U17" s="23">
        <v>22.030961401455201</v>
      </c>
      <c r="V17" s="23">
        <v>12.6543178679488</v>
      </c>
      <c r="W17" s="23">
        <v>0</v>
      </c>
    </row>
    <row r="19" spans="2:24">
      <c r="B19" t="s">
        <v>122</v>
      </c>
      <c r="C19" t="s">
        <v>4</v>
      </c>
      <c r="E19" s="23">
        <f t="shared" ref="E19:W19" si="3">E7-E15</f>
        <v>0.10624385113384582</v>
      </c>
      <c r="F19" s="23">
        <f t="shared" si="3"/>
        <v>3.3074448653406172</v>
      </c>
      <c r="G19" s="23">
        <f t="shared" si="3"/>
        <v>2.9966285698825423</v>
      </c>
      <c r="H19" s="23">
        <f t="shared" si="3"/>
        <v>3.6349911853327441</v>
      </c>
      <c r="I19" s="23">
        <f t="shared" si="3"/>
        <v>4.6413692330570271</v>
      </c>
      <c r="J19" s="23">
        <f t="shared" si="3"/>
        <v>5.4139898884509563</v>
      </c>
      <c r="K19" s="23">
        <f t="shared" si="3"/>
        <v>5.7856183648476573</v>
      </c>
      <c r="L19" s="23">
        <f t="shared" si="3"/>
        <v>5.5751452532615318</v>
      </c>
      <c r="M19" s="23">
        <f t="shared" si="3"/>
        <v>4.5875865223878307</v>
      </c>
      <c r="N19" s="23">
        <f t="shared" si="3"/>
        <v>4.5338408379471531</v>
      </c>
      <c r="O19" s="23">
        <f t="shared" si="3"/>
        <v>4.5604941842107749</v>
      </c>
      <c r="P19" s="23">
        <f t="shared" si="3"/>
        <v>5.3540136349686378</v>
      </c>
      <c r="Q19" s="23">
        <f t="shared" si="3"/>
        <v>6.2032425019244499</v>
      </c>
      <c r="R19" s="23">
        <f t="shared" si="3"/>
        <v>7.1050462768416907</v>
      </c>
      <c r="S19" s="23">
        <f t="shared" si="3"/>
        <v>8.0559041253527255</v>
      </c>
      <c r="T19" s="23">
        <f t="shared" si="3"/>
        <v>9.0519088869601774</v>
      </c>
      <c r="U19" s="23">
        <f t="shared" si="3"/>
        <v>10.004465172856371</v>
      </c>
      <c r="V19" s="23">
        <f t="shared" si="3"/>
        <v>10.554964388717636</v>
      </c>
      <c r="W19" s="23">
        <f t="shared" si="3"/>
        <v>11.376347585049558</v>
      </c>
    </row>
    <row r="20" spans="2:24">
      <c r="C20" t="s">
        <v>5</v>
      </c>
      <c r="E20" s="23">
        <f t="shared" ref="E20:W20" si="4">E8-E16</f>
        <v>0</v>
      </c>
      <c r="F20" s="23">
        <f t="shared" si="4"/>
        <v>0.95110526054214972</v>
      </c>
      <c r="G20" s="23">
        <f t="shared" si="4"/>
        <v>0.86074535343838576</v>
      </c>
      <c r="H20" s="23">
        <f t="shared" si="4"/>
        <v>1.3487353632228789</v>
      </c>
      <c r="I20" s="23">
        <f t="shared" si="4"/>
        <v>1.3666795940948653</v>
      </c>
      <c r="J20" s="23">
        <f t="shared" si="4"/>
        <v>1.8979779816689728</v>
      </c>
      <c r="K20" s="23">
        <f t="shared" si="4"/>
        <v>2.1936706340137277</v>
      </c>
      <c r="L20" s="23">
        <f t="shared" si="4"/>
        <v>3.0865470776106463</v>
      </c>
      <c r="M20" s="23">
        <f t="shared" si="4"/>
        <v>2.6965910347994324</v>
      </c>
      <c r="N20" s="23">
        <f t="shared" si="4"/>
        <v>2.960098661269484</v>
      </c>
      <c r="O20" s="23">
        <f t="shared" si="4"/>
        <v>3.0487215247830051</v>
      </c>
      <c r="P20" s="23">
        <f t="shared" si="4"/>
        <v>3.6131247440735947</v>
      </c>
      <c r="Q20" s="23">
        <f t="shared" si="4"/>
        <v>4.2211988165436765</v>
      </c>
      <c r="R20" s="23">
        <f t="shared" si="4"/>
        <v>4.8700342486667836</v>
      </c>
      <c r="S20" s="23">
        <f t="shared" si="4"/>
        <v>5.5561774209965193</v>
      </c>
      <c r="T20" s="23">
        <f t="shared" si="4"/>
        <v>6.2756305881640202</v>
      </c>
      <c r="U20" s="23">
        <f t="shared" si="4"/>
        <v>7.0238518788810609</v>
      </c>
      <c r="V20" s="23">
        <f t="shared" si="4"/>
        <v>7.9329761806560697</v>
      </c>
      <c r="W20" s="23">
        <f t="shared" si="4"/>
        <v>9.0869349008913503</v>
      </c>
    </row>
    <row r="21" spans="2:24">
      <c r="C21" t="s">
        <v>6</v>
      </c>
      <c r="E21" s="23">
        <f t="shared" ref="E21:W21" si="5">E9-E17</f>
        <v>0.23004591525557139</v>
      </c>
      <c r="F21" s="23">
        <f t="shared" si="5"/>
        <v>1.343835476448799</v>
      </c>
      <c r="G21" s="23">
        <f t="shared" si="5"/>
        <v>0.74012097836505575</v>
      </c>
      <c r="H21" s="23">
        <f t="shared" si="5"/>
        <v>1.1652394701410529</v>
      </c>
      <c r="I21" s="23">
        <f t="shared" si="5"/>
        <v>1.0637542296035214</v>
      </c>
      <c r="J21" s="23">
        <f t="shared" si="5"/>
        <v>1.5164914930333637</v>
      </c>
      <c r="K21" s="23">
        <f t="shared" si="5"/>
        <v>1.7144090023696563</v>
      </c>
      <c r="L21" s="23">
        <f t="shared" si="5"/>
        <v>2.5767122132185207</v>
      </c>
      <c r="M21" s="23">
        <f t="shared" si="5"/>
        <v>2.062354700019597</v>
      </c>
      <c r="N21" s="23">
        <f t="shared" si="5"/>
        <v>2.2980797400324704</v>
      </c>
      <c r="O21" s="23">
        <f t="shared" si="5"/>
        <v>2.4222683220907086</v>
      </c>
      <c r="P21" s="23">
        <f t="shared" si="5"/>
        <v>2.5732256763201846</v>
      </c>
      <c r="Q21" s="23">
        <f t="shared" si="5"/>
        <v>2.6379469140608833</v>
      </c>
      <c r="R21" s="23">
        <f t="shared" si="5"/>
        <v>2.5922357530854185</v>
      </c>
      <c r="S21" s="23">
        <f t="shared" si="5"/>
        <v>2.4099222651085981</v>
      </c>
      <c r="T21" s="23">
        <f t="shared" si="5"/>
        <v>2.0628628757853491</v>
      </c>
      <c r="U21" s="23">
        <f t="shared" si="5"/>
        <v>1.5209403647119899</v>
      </c>
      <c r="V21" s="23">
        <f t="shared" si="5"/>
        <v>0.90187217596514913</v>
      </c>
      <c r="W21" s="23">
        <f t="shared" si="5"/>
        <v>0</v>
      </c>
    </row>
    <row r="22" spans="2:24">
      <c r="X22" s="42" t="s">
        <v>12</v>
      </c>
    </row>
    <row r="23" spans="2:24">
      <c r="B23" t="s">
        <v>123</v>
      </c>
      <c r="C23" t="s">
        <v>4</v>
      </c>
      <c r="E23" s="23">
        <f t="shared" ref="E23:W23" si="6">E11-E19</f>
        <v>3.0348777583796842</v>
      </c>
      <c r="F23" s="23">
        <f t="shared" si="6"/>
        <v>57.468391619910179</v>
      </c>
      <c r="G23" s="23">
        <f t="shared" si="6"/>
        <v>68.728673456472251</v>
      </c>
      <c r="H23" s="23">
        <f t="shared" si="6"/>
        <v>68.109285928152161</v>
      </c>
      <c r="I23" s="23">
        <f t="shared" si="6"/>
        <v>74.796555718957762</v>
      </c>
      <c r="J23" s="23">
        <f t="shared" si="6"/>
        <v>77.453507515496142</v>
      </c>
      <c r="K23" s="23">
        <f t="shared" si="6"/>
        <v>75.041534210674541</v>
      </c>
      <c r="L23" s="23">
        <f t="shared" si="6"/>
        <v>66.535903319719381</v>
      </c>
      <c r="M23" s="23">
        <f t="shared" si="6"/>
        <v>50.925756980175869</v>
      </c>
      <c r="N23" s="23">
        <f t="shared" si="6"/>
        <v>47.199889084634449</v>
      </c>
      <c r="O23" s="23">
        <f t="shared" si="6"/>
        <v>44.811567789412223</v>
      </c>
      <c r="P23" s="23">
        <f t="shared" si="6"/>
        <v>49.909285986385065</v>
      </c>
      <c r="Q23" s="23">
        <f t="shared" si="6"/>
        <v>55.087276567716849</v>
      </c>
      <c r="R23" s="23">
        <f t="shared" si="6"/>
        <v>60.31509848027541</v>
      </c>
      <c r="S23" s="23">
        <f t="shared" si="6"/>
        <v>65.562696997059476</v>
      </c>
      <c r="T23" s="23">
        <f t="shared" si="6"/>
        <v>70.800403717197923</v>
      </c>
      <c r="U23" s="23">
        <f t="shared" si="6"/>
        <v>75.363888212827234</v>
      </c>
      <c r="V23" s="23">
        <f t="shared" si="6"/>
        <v>76.718630676078362</v>
      </c>
      <c r="W23" s="23">
        <f t="shared" si="6"/>
        <v>81.366088368082046</v>
      </c>
      <c r="X23" s="43">
        <f>SUM(E23:W23)</f>
        <v>1169.229312387607</v>
      </c>
    </row>
    <row r="24" spans="2:24">
      <c r="C24" t="s">
        <v>5</v>
      </c>
      <c r="E24" s="23">
        <f t="shared" ref="E24:W24" si="7">E12-E20</f>
        <v>0</v>
      </c>
      <c r="F24" s="23">
        <f t="shared" si="7"/>
        <v>27.911942789954651</v>
      </c>
      <c r="G24" s="23">
        <f t="shared" si="7"/>
        <v>32.908312445652612</v>
      </c>
      <c r="H24" s="23">
        <f t="shared" si="7"/>
        <v>45.01971682853992</v>
      </c>
      <c r="I24" s="23">
        <f t="shared" si="7"/>
        <v>41.004868307092238</v>
      </c>
      <c r="J24" s="23">
        <f t="shared" si="7"/>
        <v>52.102784146011928</v>
      </c>
      <c r="K24" s="23">
        <f t="shared" si="7"/>
        <v>55.756997989882976</v>
      </c>
      <c r="L24" s="23">
        <f t="shared" si="7"/>
        <v>73.257224306184852</v>
      </c>
      <c r="M24" s="23">
        <f t="shared" si="7"/>
        <v>60.14819835229617</v>
      </c>
      <c r="N24" s="23">
        <f t="shared" si="7"/>
        <v>62.362333856089009</v>
      </c>
      <c r="O24" s="23">
        <f t="shared" si="7"/>
        <v>60.912150516882392</v>
      </c>
      <c r="P24" s="23">
        <f t="shared" si="7"/>
        <v>68.690923685284304</v>
      </c>
      <c r="Q24" s="23">
        <f t="shared" si="7"/>
        <v>76.580464331604219</v>
      </c>
      <c r="R24" s="23">
        <f t="shared" si="7"/>
        <v>84.516828217457018</v>
      </c>
      <c r="S24" s="23">
        <f t="shared" si="7"/>
        <v>92.436615230377981</v>
      </c>
      <c r="T24" s="23">
        <f t="shared" si="7"/>
        <v>100.27696938382398</v>
      </c>
      <c r="U24" s="23">
        <f t="shared" si="7"/>
        <v>107.97557881717294</v>
      </c>
      <c r="V24" s="23">
        <f t="shared" si="7"/>
        <v>117.50319063107894</v>
      </c>
      <c r="W24" s="23">
        <f t="shared" si="7"/>
        <v>133.77726771933766</v>
      </c>
      <c r="X24" s="43">
        <f>SUM(E24:W24)</f>
        <v>1293.1423675547239</v>
      </c>
    </row>
    <row r="25" spans="2:24">
      <c r="C25" t="s">
        <v>6</v>
      </c>
      <c r="E25" s="23">
        <f t="shared" ref="E25:W25" si="8">E13-E21</f>
        <v>5.7976511484365485</v>
      </c>
      <c r="F25" s="23">
        <f t="shared" si="8"/>
        <v>28.827880964113103</v>
      </c>
      <c r="G25" s="23">
        <f t="shared" si="8"/>
        <v>22.409160569838743</v>
      </c>
      <c r="H25" s="23">
        <f t="shared" si="8"/>
        <v>32.303764180148647</v>
      </c>
      <c r="I25" s="23">
        <f t="shared" si="8"/>
        <v>27.390311695024778</v>
      </c>
      <c r="J25" s="23">
        <f t="shared" si="8"/>
        <v>36.592702381487335</v>
      </c>
      <c r="K25" s="23">
        <f t="shared" si="8"/>
        <v>39.008936528388944</v>
      </c>
      <c r="L25" s="23">
        <f t="shared" si="8"/>
        <v>55.542506009814879</v>
      </c>
      <c r="M25" s="23">
        <f t="shared" si="8"/>
        <v>42.268716685871802</v>
      </c>
      <c r="N25" s="23">
        <f t="shared" si="8"/>
        <v>44.917426278460532</v>
      </c>
      <c r="O25" s="23">
        <f t="shared" si="8"/>
        <v>45.264650953544894</v>
      </c>
      <c r="P25" s="23">
        <f t="shared" si="8"/>
        <v>46.072636311464017</v>
      </c>
      <c r="Q25" s="23">
        <f t="shared" si="8"/>
        <v>45.340234577245617</v>
      </c>
      <c r="R25" s="23">
        <f t="shared" si="8"/>
        <v>42.842668333580981</v>
      </c>
      <c r="S25" s="23">
        <f t="shared" si="8"/>
        <v>38.357133809219</v>
      </c>
      <c r="T25" s="23">
        <f t="shared" si="8"/>
        <v>31.662800878968454</v>
      </c>
      <c r="U25" s="23">
        <f t="shared" si="8"/>
        <v>22.540813063696909</v>
      </c>
      <c r="V25" s="23">
        <f t="shared" si="8"/>
        <v>12.920485328662251</v>
      </c>
      <c r="W25" s="23">
        <f t="shared" si="8"/>
        <v>0</v>
      </c>
      <c r="X25" s="43">
        <f>SUM(E25:W25)</f>
        <v>620.06047969796748</v>
      </c>
    </row>
    <row r="27" spans="2:24">
      <c r="B27" s="20" t="s">
        <v>124</v>
      </c>
      <c r="C27" s="20" t="s">
        <v>4</v>
      </c>
      <c r="D27" s="45"/>
      <c r="E27">
        <v>7.04</v>
      </c>
      <c r="F27">
        <v>54.97</v>
      </c>
      <c r="G27">
        <v>35.72</v>
      </c>
      <c r="H27">
        <v>22.22</v>
      </c>
      <c r="I27">
        <v>16.73</v>
      </c>
      <c r="J27">
        <v>12.62</v>
      </c>
      <c r="K27">
        <v>9.3000000000000007</v>
      </c>
      <c r="L27">
        <v>6.48</v>
      </c>
      <c r="M27">
        <v>3.97</v>
      </c>
      <c r="N27">
        <v>3.06</v>
      </c>
      <c r="O27">
        <v>2.4300000000000002</v>
      </c>
      <c r="P27">
        <v>2.2999999999999998</v>
      </c>
      <c r="Q27">
        <v>2.19</v>
      </c>
      <c r="R27">
        <v>2.08</v>
      </c>
      <c r="S27">
        <v>1.99</v>
      </c>
      <c r="T27">
        <v>1.9</v>
      </c>
      <c r="U27">
        <v>1.8</v>
      </c>
      <c r="V27">
        <v>1.64</v>
      </c>
      <c r="W27">
        <v>1.57</v>
      </c>
      <c r="X27" s="43">
        <f>SUM(E27:W27)</f>
        <v>190.01000000000002</v>
      </c>
    </row>
    <row r="28" spans="2:24">
      <c r="B28" s="20"/>
      <c r="C28" s="20" t="s">
        <v>5</v>
      </c>
      <c r="D28" s="45"/>
      <c r="E28">
        <v>0</v>
      </c>
      <c r="F28">
        <v>26.69</v>
      </c>
      <c r="G28">
        <v>17.100000000000001</v>
      </c>
      <c r="H28">
        <v>14.69</v>
      </c>
      <c r="I28">
        <v>9.17</v>
      </c>
      <c r="J28">
        <v>8.49</v>
      </c>
      <c r="K28">
        <v>6.91</v>
      </c>
      <c r="L28">
        <v>7.14</v>
      </c>
      <c r="M28">
        <v>4.7300000000000004</v>
      </c>
      <c r="N28">
        <v>4.04</v>
      </c>
      <c r="O28">
        <v>3.31</v>
      </c>
      <c r="P28">
        <v>3.17</v>
      </c>
      <c r="Q28">
        <v>3.05</v>
      </c>
      <c r="R28">
        <v>2.92</v>
      </c>
      <c r="S28">
        <v>2.8</v>
      </c>
      <c r="T28">
        <v>2.69</v>
      </c>
      <c r="U28">
        <v>2.58</v>
      </c>
      <c r="V28">
        <v>2.5099999999999998</v>
      </c>
      <c r="W28">
        <v>2.58</v>
      </c>
      <c r="X28" s="43">
        <f>SUM(E28:W28)</f>
        <v>124.57000000000001</v>
      </c>
    </row>
    <row r="29" spans="2:24">
      <c r="B29" s="20"/>
      <c r="C29" s="20" t="s">
        <v>6</v>
      </c>
      <c r="D29" s="45"/>
      <c r="E29" s="23">
        <v>13.48</v>
      </c>
      <c r="F29" s="23">
        <v>27.57</v>
      </c>
      <c r="G29" s="23">
        <v>11.65</v>
      </c>
      <c r="H29">
        <v>10.54</v>
      </c>
      <c r="I29">
        <v>6.13</v>
      </c>
      <c r="J29">
        <v>5.96</v>
      </c>
      <c r="K29">
        <v>4.84</v>
      </c>
      <c r="L29">
        <v>5.4</v>
      </c>
      <c r="M29">
        <v>3.32</v>
      </c>
      <c r="N29">
        <v>2.91</v>
      </c>
      <c r="O29">
        <v>2.46</v>
      </c>
      <c r="P29">
        <v>2.13</v>
      </c>
      <c r="Q29">
        <v>1.8</v>
      </c>
      <c r="R29">
        <v>1.48</v>
      </c>
      <c r="S29">
        <v>1.1599999999999999</v>
      </c>
      <c r="T29">
        <v>0.85</v>
      </c>
      <c r="U29">
        <v>0.54</v>
      </c>
      <c r="V29">
        <v>0.28000000000000003</v>
      </c>
      <c r="W29">
        <v>0</v>
      </c>
      <c r="X29" s="43">
        <f>SUM(E29:W29)</f>
        <v>102.49999999999997</v>
      </c>
    </row>
    <row r="30" spans="2:24">
      <c r="B30" s="20"/>
      <c r="C30" s="20"/>
      <c r="D30" s="45"/>
    </row>
    <row r="31" spans="2:24">
      <c r="B31" s="20" t="s">
        <v>125</v>
      </c>
      <c r="C31" s="20" t="s">
        <v>4</v>
      </c>
      <c r="D31" s="45"/>
      <c r="E31" s="23">
        <f t="shared" ref="E31:W31" si="9">(E27/$X27)*100</f>
        <v>3.7050681543076678</v>
      </c>
      <c r="F31" s="23">
        <f t="shared" si="9"/>
        <v>28.930056312825634</v>
      </c>
      <c r="G31" s="23">
        <f t="shared" si="9"/>
        <v>18.799010578390611</v>
      </c>
      <c r="H31" s="23">
        <f t="shared" si="9"/>
        <v>11.694121362033576</v>
      </c>
      <c r="I31" s="23">
        <f t="shared" si="9"/>
        <v>8.8047997473817148</v>
      </c>
      <c r="J31" s="23">
        <f t="shared" si="9"/>
        <v>6.6417556970685743</v>
      </c>
      <c r="K31" s="23">
        <f t="shared" si="9"/>
        <v>4.8944792379348456</v>
      </c>
      <c r="L31" s="23">
        <f t="shared" si="9"/>
        <v>3.4103468238513761</v>
      </c>
      <c r="M31" s="23">
        <f t="shared" si="9"/>
        <v>2.0893637176990683</v>
      </c>
      <c r="N31" s="23">
        <f t="shared" si="9"/>
        <v>1.6104415557075942</v>
      </c>
      <c r="O31" s="23">
        <f t="shared" si="9"/>
        <v>1.2788800589442662</v>
      </c>
      <c r="P31" s="23">
        <f t="shared" si="9"/>
        <v>1.2104626072311981</v>
      </c>
      <c r="Q31" s="23">
        <f t="shared" si="9"/>
        <v>1.1525709173201408</v>
      </c>
      <c r="R31" s="23">
        <f t="shared" si="9"/>
        <v>1.0946792274090837</v>
      </c>
      <c r="S31" s="23">
        <f t="shared" si="9"/>
        <v>1.0473132993000367</v>
      </c>
      <c r="T31" s="23">
        <f t="shared" si="9"/>
        <v>0.99994737119098975</v>
      </c>
      <c r="U31" s="23">
        <f t="shared" si="9"/>
        <v>0.94731856218093791</v>
      </c>
      <c r="V31" s="23">
        <f t="shared" si="9"/>
        <v>0.8631124677648544</v>
      </c>
      <c r="W31" s="23">
        <f t="shared" si="9"/>
        <v>0.82627230145781805</v>
      </c>
    </row>
    <row r="32" spans="2:24">
      <c r="B32" s="20"/>
      <c r="C32" s="20" t="s">
        <v>5</v>
      </c>
      <c r="D32" s="45"/>
      <c r="E32" s="23">
        <f t="shared" ref="E32:W32" si="10">(E28/$X28)*100</f>
        <v>0</v>
      </c>
      <c r="F32" s="23">
        <f t="shared" si="10"/>
        <v>21.425704423215862</v>
      </c>
      <c r="G32" s="23">
        <f t="shared" si="10"/>
        <v>13.727221642450028</v>
      </c>
      <c r="H32" s="23">
        <f t="shared" si="10"/>
        <v>11.792566428514087</v>
      </c>
      <c r="I32" s="23">
        <f t="shared" si="10"/>
        <v>7.361322950951271</v>
      </c>
      <c r="J32" s="23">
        <f t="shared" si="10"/>
        <v>6.8154451312515043</v>
      </c>
      <c r="K32" s="23">
        <f t="shared" si="10"/>
        <v>5.5470819619491047</v>
      </c>
      <c r="L32" s="23">
        <f t="shared" si="10"/>
        <v>5.7317171068475554</v>
      </c>
      <c r="M32" s="23">
        <f t="shared" si="10"/>
        <v>3.7970618929116164</v>
      </c>
      <c r="N32" s="23">
        <f t="shared" si="10"/>
        <v>3.243156458216264</v>
      </c>
      <c r="O32" s="23">
        <f t="shared" si="10"/>
        <v>2.6571405635385728</v>
      </c>
      <c r="P32" s="23">
        <f t="shared" si="10"/>
        <v>2.5447539536003849</v>
      </c>
      <c r="Q32" s="23">
        <f t="shared" si="10"/>
        <v>2.4484225736533674</v>
      </c>
      <c r="R32" s="23">
        <f t="shared" si="10"/>
        <v>2.3440635787107649</v>
      </c>
      <c r="S32" s="23">
        <f t="shared" si="10"/>
        <v>2.2477321987637469</v>
      </c>
      <c r="T32" s="23">
        <f t="shared" si="10"/>
        <v>2.1594284338123142</v>
      </c>
      <c r="U32" s="23">
        <f t="shared" si="10"/>
        <v>2.0711246688608815</v>
      </c>
      <c r="V32" s="23">
        <f t="shared" si="10"/>
        <v>2.0149313638917876</v>
      </c>
      <c r="W32" s="23">
        <f t="shared" si="10"/>
        <v>2.0711246688608815</v>
      </c>
    </row>
    <row r="33" spans="2:23">
      <c r="B33" s="20"/>
      <c r="C33" s="20" t="s">
        <v>6</v>
      </c>
      <c r="D33" s="45"/>
      <c r="E33" s="23">
        <f t="shared" ref="E33:W33" si="11">(E29/$X29)*100</f>
        <v>13.151219512195125</v>
      </c>
      <c r="F33" s="23">
        <f t="shared" si="11"/>
        <v>26.897560975609764</v>
      </c>
      <c r="G33" s="23">
        <f t="shared" si="11"/>
        <v>11.365853658536588</v>
      </c>
      <c r="H33" s="23">
        <f t="shared" si="11"/>
        <v>10.282926829268295</v>
      </c>
      <c r="I33" s="23">
        <f t="shared" si="11"/>
        <v>5.9804878048780505</v>
      </c>
      <c r="J33" s="23">
        <f t="shared" si="11"/>
        <v>5.814634146341465</v>
      </c>
      <c r="K33" s="23">
        <f t="shared" si="11"/>
        <v>4.7219512195121967</v>
      </c>
      <c r="L33" s="23">
        <f t="shared" si="11"/>
        <v>5.2682926829268313</v>
      </c>
      <c r="M33" s="23">
        <f t="shared" si="11"/>
        <v>3.2390243902439031</v>
      </c>
      <c r="N33" s="23">
        <f t="shared" si="11"/>
        <v>2.8390243902439032</v>
      </c>
      <c r="O33" s="23">
        <f t="shared" si="11"/>
        <v>2.4000000000000008</v>
      </c>
      <c r="P33" s="23">
        <f t="shared" si="11"/>
        <v>2.0780487804878054</v>
      </c>
      <c r="Q33" s="23">
        <f t="shared" si="11"/>
        <v>1.7560975609756102</v>
      </c>
      <c r="R33" s="23">
        <f t="shared" si="11"/>
        <v>1.4439024390243906</v>
      </c>
      <c r="S33" s="23">
        <f t="shared" si="11"/>
        <v>1.1317073170731711</v>
      </c>
      <c r="T33" s="23">
        <f t="shared" si="11"/>
        <v>0.82926829268292701</v>
      </c>
      <c r="U33" s="23">
        <f t="shared" si="11"/>
        <v>0.52682926829268317</v>
      </c>
      <c r="V33" s="23">
        <f t="shared" si="11"/>
        <v>0.2731707317073172</v>
      </c>
      <c r="W33" s="23">
        <f t="shared" si="11"/>
        <v>0</v>
      </c>
    </row>
    <row r="36" spans="2:23">
      <c r="B36" t="s">
        <v>126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ageMargins left="0.7" right="0.7" top="0.75" bottom="0.75" header="0.511811023622047" footer="0.511811023622047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4025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Reef_data</vt:lpstr>
      <vt:lpstr>Population_size_structure</vt:lpstr>
      <vt:lpstr>Growth</vt:lpstr>
      <vt:lpstr>PCM_rates</vt:lpstr>
      <vt:lpstr>Mortality</vt:lpstr>
      <vt:lpstr>Reproduction</vt:lpstr>
      <vt:lpstr> TOTAL_COVERS</vt:lpstr>
      <vt:lpstr>New PSD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 Browne</dc:creator>
  <dc:description/>
  <cp:lastModifiedBy>Nicola Browne</cp:lastModifiedBy>
  <cp:revision>6</cp:revision>
  <dcterms:created xsi:type="dcterms:W3CDTF">2022-09-21T01:10:16Z</dcterms:created>
  <dcterms:modified xsi:type="dcterms:W3CDTF">2024-08-21T23:20:43Z</dcterms:modified>
  <dc:language>en-AU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2024-08-21T23:19:35Z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ec9c8d8a-05dc-4e33-91a1-a82d8109bfc6</vt:lpwstr>
  </property>
  <property fmtid="{D5CDD505-2E9C-101B-9397-08002B2CF9AE}" pid="8" name="MSIP_Label_0f488380-630a-4f55-a077-a19445e3f360_ContentBits">
    <vt:lpwstr>0</vt:lpwstr>
  </property>
</Properties>
</file>